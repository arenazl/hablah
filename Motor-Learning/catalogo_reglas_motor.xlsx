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las" sheetId="1" state="visible" r:id="rId3"/>
    <sheet name="Tópicos" sheetId="2" state="visible" r:id="rId4"/>
    <sheet name="Orquestador" sheetId="3" state="visible" r:id="rId5"/>
    <sheet name="Leyenda" sheetId="4" state="visible" r:id="rId6"/>
  </sheets>
  <definedNames>
    <definedName function="false" hidden="true" localSheetId="0" name="_xlnm._FilterDatabase" vbProcedure="false">Reglas!$A$1:$I$123</definedName>
    <definedName function="false" hidden="true" localSheetId="1" name="_xlnm._FilterDatabase" vbProcedure="false">Tópicos!$A$1:$H$16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<sst xmlns="http://schemas.openxmlformats.org/spreadsheetml/2006/main" count="1247" uniqueCount="485">
  <si>
    <t xml:space="preserve">ID</t>
  </si>
  <si>
    <t xml:space="preserve">Bloque</t>
  </si>
  <si>
    <t xml:space="preserve">Categoría</t>
  </si>
  <si>
    <t xml:space="preserve">Eje</t>
  </si>
  <si>
    <t xml:space="preserve">Aplica a</t>
  </si>
  <si>
    <t xml:space="preserve">Regla</t>
  </si>
  <si>
    <t xml:space="preserve">Origen</t>
  </si>
  <si>
    <t xml:space="preserve">Editable</t>
  </si>
  <si>
    <t xml:space="preserve">Notas</t>
  </si>
  <si>
    <t xml:space="preserve">RTC-ALL-01</t>
  </si>
  <si>
    <t xml:space="preserve">1 runtime_context</t>
  </si>
  <si>
    <t xml:space="preserve">runtime_context</t>
  </si>
  <si>
    <t xml:space="preserve">FIJO</t>
  </si>
  <si>
    <t xml:space="preserve">todos</t>
  </si>
  <si>
    <t xml:space="preserve">Target Language: English</t>
  </si>
  <si>
    <t xml:space="preserve">seed v1</t>
  </si>
  <si>
    <t xml:space="preserve">no</t>
  </si>
  <si>
    <t xml:space="preserve">RTC-ALL-02</t>
  </si>
  <si>
    <t xml:space="preserve">Native Language: Spanish (es-AR, Rioplatense)</t>
  </si>
  <si>
    <t xml:space="preserve">RTC-ALL-03</t>
  </si>
  <si>
    <t xml:space="preserve">Interface Mode: Realtime Multimodal Voice Session</t>
  </si>
  <si>
    <t xml:space="preserve">RTC-ALL-04</t>
  </si>
  <si>
    <t xml:space="preserve">voice_tts</t>
  </si>
  <si>
    <t xml:space="preserve">Voice Output Rule: el texto al TTS va limpio; emojis/onomatopeyas solo a pantalla</t>
  </si>
  <si>
    <t xml:space="preserve">RTC-ALL-05</t>
  </si>
  <si>
    <t xml:space="preserve">Current Date: lo inyecta la app en cada sesión</t>
  </si>
  <si>
    <t xml:space="preserve">dinámico por día, no por alumno</t>
  </si>
  <si>
    <t xml:space="preserve">UNI-ALL-01</t>
  </si>
  <si>
    <t xml:space="preserve">6 behavioral_guards</t>
  </si>
  <si>
    <t xml:space="preserve">universal_guard</t>
  </si>
  <si>
    <t xml:space="preserve">ASR tolerance: si la voz llega con baja confianza, pedir repetir; no contar como error</t>
  </si>
  <si>
    <t xml:space="preserve">UNI-ALL-02</t>
  </si>
  <si>
    <t xml:space="preserve">Stay on frame: si deriva del tema, redirigir con tacto</t>
  </si>
  <si>
    <t xml:space="preserve">UNI-ALL-03</t>
  </si>
  <si>
    <t xml:space="preserve">Closing trigger: si Current_Phase = Phase 4 -&gt; ejecutar Closing_Action, sin contenido nuevo</t>
  </si>
  <si>
    <t xml:space="preserve">SAF-ALL-01</t>
  </si>
  <si>
    <t xml:space="preserve">safety</t>
  </si>
  <si>
    <t xml:space="preserve">No solicitar datos personales identificables del alumno</t>
  </si>
  <si>
    <t xml:space="preserve">propuesto</t>
  </si>
  <si>
    <t xml:space="preserve">clave para menores</t>
  </si>
  <si>
    <t xml:space="preserve">SAF-ALL-02</t>
  </si>
  <si>
    <t xml:space="preserve">Contenido siempre apropiado para la edad; rechazar temas sensibles</t>
  </si>
  <si>
    <t xml:space="preserve">SAF-ALL-03</t>
  </si>
  <si>
    <t xml:space="preserve">No incluir links externos ni pedir abrir apps de terceros</t>
  </si>
  <si>
    <t xml:space="preserve">SAF-ALL-04</t>
  </si>
  <si>
    <t xml:space="preserve">Si el alumno muestra angustia, frenar la lección y responder con calma</t>
  </si>
  <si>
    <t xml:space="preserve">PRV-ALL-01</t>
  </si>
  <si>
    <t xml:space="preserve">5b learner_state</t>
  </si>
  <si>
    <t xml:space="preserve">privacy</t>
  </si>
  <si>
    <t xml:space="preserve">Para menores: no retener PII; learner_state guarda solo progreso lingüístico</t>
  </si>
  <si>
    <t xml:space="preserve">ACC-ALL-01</t>
  </si>
  <si>
    <t xml:space="preserve">accessibility</t>
  </si>
  <si>
    <t xml:space="preserve">Subtítulos en pantalla de cada frase en inglés</t>
  </si>
  <si>
    <t xml:space="preserve">sí</t>
  </si>
  <si>
    <t xml:space="preserve">IDL-ALL-01</t>
  </si>
  <si>
    <t xml:space="preserve">9b interaction_state</t>
  </si>
  <si>
    <t xml:space="preserve">idle_timeout</t>
  </si>
  <si>
    <t xml:space="preserve">Si no hay respuesta en ~10s, dar un empujón suave (no avanzar de fase)</t>
  </si>
  <si>
    <t xml:space="preserve">TUT-EC-01</t>
  </si>
  <si>
    <t xml:space="preserve">2 tutor_identity</t>
  </si>
  <si>
    <t xml:space="preserve">tutor_identity</t>
  </si>
  <si>
    <t xml:space="preserve">EDAD</t>
  </si>
  <si>
    <t xml:space="preserve">banda:early_child</t>
  </si>
  <si>
    <t xml:space="preserve">Sos Sparky, dragoncito espacial. Tono súper alegre, onomatopeyas y emojis en pantalla</t>
  </si>
  <si>
    <t xml:space="preserve">TUT-CH-01</t>
  </si>
  <si>
    <t xml:space="preserve">banda:child</t>
  </si>
  <si>
    <t xml:space="preserve">Sos Nova, exploradora compañera de aventuras. Tono entusiasta, festeja cada logro</t>
  </si>
  <si>
    <t xml:space="preserve">TUT-TN-01</t>
  </si>
  <si>
    <t xml:space="preserve">banda:teen</t>
  </si>
  <si>
    <t xml:space="preserve">Sos Leo, profe-coach cercano sin disfraz infantil. Tono relajado, actual, motivador</t>
  </si>
  <si>
    <t xml:space="preserve">TUT-AD-01</t>
  </si>
  <si>
    <t xml:space="preserve">banda:adult</t>
  </si>
  <si>
    <t xml:space="preserve">Sos Alex, profesor/host carismático. Tono claro, cordial, con modismos naturales</t>
  </si>
  <si>
    <t xml:space="preserve">PED-EC-01</t>
  </si>
  <si>
    <t xml:space="preserve">3 pedagogical_framework</t>
  </si>
  <si>
    <t xml:space="preserve">pedagogy</t>
  </si>
  <si>
    <t xml:space="preserve">Gamificación inmersiva. 0% gramática explícita. El error nunca se corrige de forma punitiva</t>
  </si>
  <si>
    <t xml:space="preserve">PED-CH-01</t>
  </si>
  <si>
    <t xml:space="preserve">Lúdico con mini-retos y recompensas. Gramática implícita, sin metalenguaje</t>
  </si>
  <si>
    <t xml:space="preserve">PED-TN-01</t>
  </si>
  <si>
    <t xml:space="preserve">Comunicativo basado en sus intereses. Gramática contextual ligera</t>
  </si>
  <si>
    <t xml:space="preserve">PED-AD-01</t>
  </si>
  <si>
    <t xml:space="preserve">Fluency first. No interrumpir por errores menores; anotar vicios en silencio para el cierre</t>
  </si>
  <si>
    <t xml:space="preserve">ACT-EC-01</t>
  </si>
  <si>
    <t xml:space="preserve">4 lesson_focus</t>
  </si>
  <si>
    <t xml:space="preserve">activity_type</t>
  </si>
  <si>
    <t xml:space="preserve">Misión lúdica inmersiva sobre el tópico; cada acierto da recompensa</t>
  </si>
  <si>
    <t xml:space="preserve">ACT-CH-01</t>
  </si>
  <si>
    <t xml:space="preserve">Misión lúdica sobre el tópico; cada acierto da recompensa</t>
  </si>
  <si>
    <t xml:space="preserve">ACT-TN-01</t>
  </si>
  <si>
    <t xml:space="preserve">Charla guiada sobre el tópico (objetivo conversacional)</t>
  </si>
  <si>
    <t xml:space="preserve">ACT-AD-01</t>
  </si>
  <si>
    <t xml:space="preserve">Roleplay / escenario comunicativo sobre el tópico</t>
  </si>
  <si>
    <t xml:space="preserve">GRD-EC-01</t>
  </si>
  <si>
    <t xml:space="preserve">behavioral_guard</t>
  </si>
  <si>
    <t xml:space="preserve">Prohibido preguntas abiertas en inglés</t>
  </si>
  <si>
    <t xml:space="preserve">GRD-EC-02</t>
  </si>
  <si>
    <t xml:space="preserve">Flujo de 3 pasos: frase corta -&gt; espejo en español -&gt; repetir 1 palabra</t>
  </si>
  <si>
    <t xml:space="preserve">GRD-EC-03</t>
  </si>
  <si>
    <t xml:space="preserve">Máx. 30 palabras por turno</t>
  </si>
  <si>
    <t xml:space="preserve">GRD-CH-01</t>
  </si>
  <si>
    <t xml:space="preserve">Solo preguntas cerradas simples (yes/no)</t>
  </si>
  <si>
    <t xml:space="preserve">GRD-CH-02</t>
  </si>
  <si>
    <t xml:space="preserve">Frases de 2 a 4 palabras</t>
  </si>
  <si>
    <t xml:space="preserve">GRD-CH-03</t>
  </si>
  <si>
    <t xml:space="preserve">Espejo en español tras cada frase nueva</t>
  </si>
  <si>
    <t xml:space="preserve">GRD-TN-01</t>
  </si>
  <si>
    <t xml:space="preserve">Preguntas abiertas simples permitidas</t>
  </si>
  <si>
    <t xml:space="preserve">GRD-TN-02</t>
  </si>
  <si>
    <t xml:space="preserve">Español reducido al mínimo</t>
  </si>
  <si>
    <t xml:space="preserve">GRD-TN-03</t>
  </si>
  <si>
    <t xml:space="preserve">Conectar siempre con sus intereses</t>
  </si>
  <si>
    <t xml:space="preserve">GRD-AD-01</t>
  </si>
  <si>
    <t xml:space="preserve">Una sola pregunta o situación por turno</t>
  </si>
  <si>
    <t xml:space="preserve">GRD-AD-02</t>
  </si>
  <si>
    <t xml:space="preserve">Si se traba &gt;3s, dar pista o sinónimo, no la respuesta</t>
  </si>
  <si>
    <t xml:space="preserve">GRD-AD-03</t>
  </si>
  <si>
    <t xml:space="preserve">Priorizar continuidad del diálogo sobre la precisión</t>
  </si>
  <si>
    <t xml:space="preserve">PHA-KID-01</t>
  </si>
  <si>
    <t xml:space="preserve">8 narrative_spine</t>
  </si>
  <si>
    <t xml:space="preserve">phase</t>
  </si>
  <si>
    <t xml:space="preserve">banda:early_child,child</t>
  </si>
  <si>
    <t xml:space="preserve">Phase 1: Arrival (saludo + enganche con el mundo de hoy)</t>
  </si>
  <si>
    <t xml:space="preserve">PHA-KID-02</t>
  </si>
  <si>
    <t xml:space="preserve">Phase 2: Mission (juego con el vocabulario objetivo)</t>
  </si>
  <si>
    <t xml:space="preserve">PHA-KID-03</t>
  </si>
  <si>
    <t xml:space="preserve">Phase 3: Reward (logro y refuerzo)</t>
  </si>
  <si>
    <t xml:space="preserve">PHA-KID-04</t>
  </si>
  <si>
    <t xml:space="preserve">Phase 4: Session Close (mini-repaso + gancho)</t>
  </si>
  <si>
    <t xml:space="preserve">PHA-AD-01</t>
  </si>
  <si>
    <t xml:space="preserve">banda:teen,adult</t>
  </si>
  <si>
    <t xml:space="preserve">Phase 1: Context Setup (apertura del escenario)</t>
  </si>
  <si>
    <t xml:space="preserve">PHA-AD-02</t>
  </si>
  <si>
    <t xml:space="preserve">Phase 2: Development (desarrollo de la conversación)</t>
  </si>
  <si>
    <t xml:space="preserve">PHA-AD-03</t>
  </si>
  <si>
    <t xml:space="preserve">Phase 3: Resolution (resolución del objetivo)</t>
  </si>
  <si>
    <t xml:space="preserve">PHA-AD-04</t>
  </si>
  <si>
    <t xml:space="preserve">Phase 4: Session Close (repaso + feedback + gancho)</t>
  </si>
  <si>
    <t xml:space="preserve">PAC-EC-01</t>
  </si>
  <si>
    <t xml:space="preserve">pacing_base</t>
  </si>
  <si>
    <t xml:space="preserve">Pacing base: ~3 min</t>
  </si>
  <si>
    <t xml:space="preserve">PAC-CH-01</t>
  </si>
  <si>
    <t xml:space="preserve">Pacing base: ~4 min</t>
  </si>
  <si>
    <t xml:space="preserve">PAC-TN-01</t>
  </si>
  <si>
    <t xml:space="preserve">Pacing base: ~6 min</t>
  </si>
  <si>
    <t xml:space="preserve">PAC-AD-01</t>
  </si>
  <si>
    <t xml:space="preserve">Pacing base: ~8 min</t>
  </si>
  <si>
    <t xml:space="preserve">TRG-KID-OPEN</t>
  </si>
  <si>
    <t xml:space="preserve">9 execution_trigger</t>
  </si>
  <si>
    <t xml:space="preserve">trigger_template</t>
  </si>
  <si>
    <t xml:space="preserve">EDAD+TÓPICO</t>
  </si>
  <si>
    <t xml:space="preserve">Opening: saludá con energía como {tutor}, presentá '{topic}', pedí repetir '{vocab0}', flujo de 3 pasos</t>
  </si>
  <si>
    <t xml:space="preserve">TRG-KID-CONT</t>
  </si>
  <si>
    <t xml:space="preserve">Continuation: 1 frase EN -&gt; espejo ES -&gt; repetición; nunca preguntas abiertas; máx 30 palabras</t>
  </si>
  <si>
    <t xml:space="preserve">TRG-KID-CLOSE</t>
  </si>
  <si>
    <t xml:space="preserve">Closing: repaso breve ('Hoy aprendimos {vocab}'), festejá, enganchá; ES con alguna palabra EN</t>
  </si>
  <si>
    <t xml:space="preserve">TRG-TN-OPEN</t>
  </si>
  <si>
    <t xml:space="preserve">Opening: saludá relajado como {tutor}, presentá '{topic}', abrí con UNA pregunta simple en EN</t>
  </si>
  <si>
    <t xml:space="preserve">TRG-TN-CONT</t>
  </si>
  <si>
    <t xml:space="preserve">Continuation: una pregunta/consigna por turno, español al mínimo, conectando con sus intereses</t>
  </si>
  <si>
    <t xml:space="preserve">TRG-TN-CLOSE</t>
  </si>
  <si>
    <t xml:space="preserve">Closing: repaso en EN simple ('Today we practiced {phrase0}'), elogio corto y gancho</t>
  </si>
  <si>
    <t xml:space="preserve">TRG-AD-OPEN</t>
  </si>
  <si>
    <t xml:space="preserve">Opening: presentate como {tutor}, bienvenida a {name}, escenario '{topic}', primera consigna</t>
  </si>
  <si>
    <t xml:space="preserve">TRG-AD-CONT</t>
  </si>
  <si>
    <t xml:space="preserve">Continuation: una situación por turno, sin castellano, pistas si se traba &gt;3s; hacia {objective}</t>
  </si>
  <si>
    <t xml:space="preserve">TRG-AD-CLOSE</t>
  </si>
  <si>
    <t xml:space="preserve">Closing: repaso a nivel {level}, 1-2 correcciones de Recent_Errors sin abrumar, gancho</t>
  </si>
  <si>
    <t xml:space="preserve">RWD-EC-01</t>
  </si>
  <si>
    <t xml:space="preserve">reward</t>
  </si>
  <si>
    <t xml:space="preserve">Recompensa: estrellitas + SFX celebratorio en pantalla por cada acierto</t>
  </si>
  <si>
    <t xml:space="preserve">RWD-CH-01</t>
  </si>
  <si>
    <t xml:space="preserve">Recompensa: badges y mini-logros por reto completado</t>
  </si>
  <si>
    <t xml:space="preserve">RWD-TN-01</t>
  </si>
  <si>
    <t xml:space="preserve">Recompensa: racha/streak y barra de progreso visible</t>
  </si>
  <si>
    <t xml:space="preserve">RWD-AD-01</t>
  </si>
  <si>
    <t xml:space="preserve">Recompensa: hitos de fluidez y resumen de logros al cierre</t>
  </si>
  <si>
    <t xml:space="preserve">FBK-KID-01</t>
  </si>
  <si>
    <t xml:space="preserve">feedback</t>
  </si>
  <si>
    <t xml:space="preserve">Feedback: visual (emoji/SFX en pantalla), nunca correctivo verbal duro</t>
  </si>
  <si>
    <t xml:space="preserve">FBK-TN-01</t>
  </si>
  <si>
    <t xml:space="preserve">Feedback: breve y verbal, en inglés simple, sin metalenguaje</t>
  </si>
  <si>
    <t xml:space="preserve">FBK-AD-01</t>
  </si>
  <si>
    <t xml:space="preserve">Feedback: resumen estructurado al cierre con 1-2 correcciones</t>
  </si>
  <si>
    <t xml:space="preserve">MOT-KID-01</t>
  </si>
  <si>
    <t xml:space="preserve">motivation</t>
  </si>
  <si>
    <t xml:space="preserve">Motivación: elogio frecuente y exagerado en cada paso</t>
  </si>
  <si>
    <t xml:space="preserve">MOT-TN-01</t>
  </si>
  <si>
    <t xml:space="preserve">Motivación: elogio puntual y genuino, sin sobreactuar</t>
  </si>
  <si>
    <t xml:space="preserve">MOT-AD-01</t>
  </si>
  <si>
    <t xml:space="preserve">Motivación: refuerzo sobrio, foco en progreso real</t>
  </si>
  <si>
    <t xml:space="preserve">TRN-CH-01</t>
  </si>
  <si>
    <t xml:space="preserve">turn_length</t>
  </si>
  <si>
    <t xml:space="preserve">Máx. ~40 palabras por turno</t>
  </si>
  <si>
    <t xml:space="preserve">TRN-TN-01</t>
  </si>
  <si>
    <t xml:space="preserve">Máx. ~60 palabras por turno</t>
  </si>
  <si>
    <t xml:space="preserve">TRN-AD-01</t>
  </si>
  <si>
    <t xml:space="preserve">Sin tope estricto; priorizar naturalidad</t>
  </si>
  <si>
    <t xml:space="preserve">QST-KID-01</t>
  </si>
  <si>
    <t xml:space="preserve">question_policy</t>
  </si>
  <si>
    <t xml:space="preserve">Solo preguntas cerradas (yes/no o elección binaria)</t>
  </si>
  <si>
    <t xml:space="preserve">QST-TN-01</t>
  </si>
  <si>
    <t xml:space="preserve">Preguntas abiertas simples, una por turno</t>
  </si>
  <si>
    <t xml:space="preserve">QST-AD-01</t>
  </si>
  <si>
    <t xml:space="preserve">Una pregunta o situación abierta por turno</t>
  </si>
  <si>
    <t xml:space="preserve">LVL-A1-01</t>
  </si>
  <si>
    <t xml:space="preserve">level_modifier</t>
  </si>
  <si>
    <t xml:space="preserve">NIVEL</t>
  </si>
  <si>
    <t xml:space="preserve">nivel:A1</t>
  </si>
  <si>
    <t xml:space="preserve">Espejo en español SIEMPRE activo, vocabulario mínimo</t>
  </si>
  <si>
    <t xml:space="preserve">LVL-A2-01</t>
  </si>
  <si>
    <t xml:space="preserve">nivel:A2</t>
  </si>
  <si>
    <t xml:space="preserve">Espejo en español frecuente, frases cortas</t>
  </si>
  <si>
    <t xml:space="preserve">LVL-B1-01</t>
  </si>
  <si>
    <t xml:space="preserve">nivel:B1</t>
  </si>
  <si>
    <t xml:space="preserve">Español solo si se traba, conversación guiada</t>
  </si>
  <si>
    <t xml:space="preserve">LVL-B2-01</t>
  </si>
  <si>
    <t xml:space="preserve">nivel:B2</t>
  </si>
  <si>
    <t xml:space="preserve">Sin español (inmersión), corrección por recast</t>
  </si>
  <si>
    <t xml:space="preserve">LVL-C1-01</t>
  </si>
  <si>
    <t xml:space="preserve">nivel:C1</t>
  </si>
  <si>
    <t xml:space="preserve">Sin español (inmersión), matices e idiomático</t>
  </si>
  <si>
    <t xml:space="preserve">L1-A1-01</t>
  </si>
  <si>
    <t xml:space="preserve">l1_policy</t>
  </si>
  <si>
    <t xml:space="preserve">spanish_mirror = always</t>
  </si>
  <si>
    <t xml:space="preserve">L1-A2-01</t>
  </si>
  <si>
    <t xml:space="preserve">spanish_mirror = frequent</t>
  </si>
  <si>
    <t xml:space="preserve">L1-B1-01</t>
  </si>
  <si>
    <t xml:space="preserve">spanish_mirror = on_stall</t>
  </si>
  <si>
    <t xml:space="preserve">L1-B2-01</t>
  </si>
  <si>
    <t xml:space="preserve">spanish_mirror = never</t>
  </si>
  <si>
    <t xml:space="preserve">L1-C1-01</t>
  </si>
  <si>
    <t xml:space="preserve">DPT-BAS-01</t>
  </si>
  <si>
    <t xml:space="preserve">7 topic_vocabulary</t>
  </si>
  <si>
    <t xml:space="preserve">vocab_depth</t>
  </si>
  <si>
    <t xml:space="preserve">nivel:A1,A2</t>
  </si>
  <si>
    <t xml:space="preserve">Profundidad básica: entra solo la 1ª frase clave</t>
  </si>
  <si>
    <t xml:space="preserve">DPT-ADV-01</t>
  </si>
  <si>
    <t xml:space="preserve">nivel:B1,B2,C1</t>
  </si>
  <si>
    <t xml:space="preserve">Profundidad avanzada: entran todas las frases clave</t>
  </si>
  <si>
    <t xml:space="preserve">PBN-A1-01</t>
  </si>
  <si>
    <t xml:space="preserve">pacing_bonus</t>
  </si>
  <si>
    <t xml:space="preserve">+0 min</t>
  </si>
  <si>
    <t xml:space="preserve">PBN-A2-01</t>
  </si>
  <si>
    <t xml:space="preserve">PBN-B1-01</t>
  </si>
  <si>
    <t xml:space="preserve">PBN-B2-01</t>
  </si>
  <si>
    <t xml:space="preserve">+2 min</t>
  </si>
  <si>
    <t xml:space="preserve">PBN-C1-01</t>
  </si>
  <si>
    <t xml:space="preserve">HNT-A1-01</t>
  </si>
  <si>
    <t xml:space="preserve">hint_policy</t>
  </si>
  <si>
    <t xml:space="preserve">Ante traba: traducir/espejar de inmediato</t>
  </si>
  <si>
    <t xml:space="preserve">HNT-B1-01</t>
  </si>
  <si>
    <t xml:space="preserve">Ante traba: dar pista en inglés antes de traducir</t>
  </si>
  <si>
    <t xml:space="preserve">HNT-B2-01</t>
  </si>
  <si>
    <t xml:space="preserve">nivel:B2,C1</t>
  </si>
  <si>
    <t xml:space="preserve">Ante traba: sinónimo o reformulación en inglés, nunca traducir</t>
  </si>
  <si>
    <t xml:space="preserve">ERR-A1-01</t>
  </si>
  <si>
    <t xml:space="preserve">error_policy</t>
  </si>
  <si>
    <t xml:space="preserve">Corrección: modelado implícito (recast suave), sin señalar el error</t>
  </si>
  <si>
    <t xml:space="preserve">ERR-B1-01</t>
  </si>
  <si>
    <t xml:space="preserve">Corrección: recast; señalar solo errores que rompen comunicación</t>
  </si>
  <si>
    <t xml:space="preserve">ERR-B2-01</t>
  </si>
  <si>
    <t xml:space="preserve">Corrección: recast + foco en matiz/idiomático cuando es relevante</t>
  </si>
  <si>
    <t xml:space="preserve">TOP-01</t>
  </si>
  <si>
    <t xml:space="preserve">topic</t>
  </si>
  <si>
    <t xml:space="preserve">TÓPICO</t>
  </si>
  <si>
    <t xml:space="preserve">El mundo de los dinosaurios — vocab: Dino, Egg; objetivo: nombrar animales y describir tamaños</t>
  </si>
  <si>
    <t xml:space="preserve">ver hoja Tópicos</t>
  </si>
  <si>
    <t xml:space="preserve">TOP-02</t>
  </si>
  <si>
    <t xml:space="preserve">banda:child,teen,adult</t>
  </si>
  <si>
    <t xml:space="preserve">Explorar el espacio — vocab: Star, Planet; objetivo: describir el cielo y los planetas</t>
  </si>
  <si>
    <t xml:space="preserve">TOP-03</t>
  </si>
  <si>
    <t xml:space="preserve">¿Llegaremos a Marte? — vocab: Mars, Rocket; objetivo: opinar sobre el futuro y la exploración</t>
  </si>
  <si>
    <t xml:space="preserve">TOP-04</t>
  </si>
  <si>
    <t xml:space="preserve">banda:early_child,child,teen,adult</t>
  </si>
  <si>
    <t xml:space="preserve">Animales del océano — vocab: Fish, Whale; objetivo: nombrar animales marinos</t>
  </si>
  <si>
    <t xml:space="preserve">TOP-05</t>
  </si>
  <si>
    <t xml:space="preserve">Volcanes — vocab: Lava, Erupt; objetivo: explicar un fenómeno natural</t>
  </si>
  <si>
    <t xml:space="preserve">TOP-06</t>
  </si>
  <si>
    <t xml:space="preserve">Jardines y plantas — vocab: Plant, Flower; objetivo: hablar de rutinas de cuidado</t>
  </si>
  <si>
    <t xml:space="preserve">TOP-07</t>
  </si>
  <si>
    <t xml:space="preserve">Fútbol — vocab: Ball, Goal; objetivo: hablar de un partido</t>
  </si>
  <si>
    <t xml:space="preserve">TOP-08</t>
  </si>
  <si>
    <t xml:space="preserve">Escalada — vocab: Rope, Summit; objetivo: describir una actividad al aire libre</t>
  </si>
  <si>
    <t xml:space="preserve">TOP-09</t>
  </si>
  <si>
    <t xml:space="preserve">Deportes al aire libre — vocab: Run, Trail; objetivo: hablar de hábitos y deportes</t>
  </si>
  <si>
    <t xml:space="preserve">TOP-10</t>
  </si>
  <si>
    <t xml:space="preserve">Bandas de música — vocab: Song, Band; objetivo: expresar gustos musicales</t>
  </si>
  <si>
    <t xml:space="preserve">TOP-11</t>
  </si>
  <si>
    <t xml:space="preserve">Cine de aventuras — vocab: Movie, Hero; objetivo: recomendar y opinar sobre películas</t>
  </si>
  <si>
    <t xml:space="preserve">TOP-12</t>
  </si>
  <si>
    <t xml:space="preserve">Programas de TV clásicos — vocab: Show, Channel; objetivo: recordar y describir programas</t>
  </si>
  <si>
    <t xml:space="preserve">TOP-13</t>
  </si>
  <si>
    <t xml:space="preserve">Cómo funcionan los robots — vocab: Robot, Sensor; objetivo: explicar un proceso técnico</t>
  </si>
  <si>
    <t xml:space="preserve">TOP-14</t>
  </si>
  <si>
    <t xml:space="preserve">Videojuegos — vocab: Game, Level; objetivo: contar cómo se juega</t>
  </si>
  <si>
    <t xml:space="preserve">TOP-15</t>
  </si>
  <si>
    <t xml:space="preserve">Cocina del mundo — vocab: Recipe, Dish; objetivo: describir una receta</t>
  </si>
  <si>
    <t xml:space="preserve">ONB-01</t>
  </si>
  <si>
    <t xml:space="preserve">pre-clase</t>
  </si>
  <si>
    <t xml:space="preserve">onboarding</t>
  </si>
  <si>
    <t xml:space="preserve">Onboarding (1 vez): elegir Categoría -&gt; Subcategoría -&gt; arma el kit del alumno</t>
  </si>
  <si>
    <t xml:space="preserve">no entra al prompt</t>
  </si>
  <si>
    <t xml:space="preserve">ONB-02</t>
  </si>
  <si>
    <t xml:space="preserve">sequencer</t>
  </si>
  <si>
    <t xml:space="preserve">Sequencer (cada sesión): elige 1 tópico del kit -&gt; entra al Bloque 7</t>
  </si>
  <si>
    <t xml:space="preserve">ONB-03</t>
  </si>
  <si>
    <t xml:space="preserve">topic_filter</t>
  </si>
  <si>
    <t xml:space="preserve">TÓPICO+EDAD</t>
  </si>
  <si>
    <t xml:space="preserve">Filtro de edad: solo ofrecer tópicos cuyo appropriate_bands incluya la banda del alumno</t>
  </si>
  <si>
    <t xml:space="preserve">la 'zona gris'</t>
  </si>
  <si>
    <t xml:space="preserve">SLT-01</t>
  </si>
  <si>
    <t xml:space="preserve">5 student_profile</t>
  </si>
  <si>
    <t xml:space="preserve">runtime_slot</t>
  </si>
  <si>
    <t xml:space="preserve">RUNTIME</t>
  </si>
  <si>
    <t xml:space="preserve">student_profile { name, age, level, interests } — leído de la DB</t>
  </si>
  <si>
    <t xml:space="preserve">SLT-02</t>
  </si>
  <si>
    <t xml:space="preserve">learner_state { mastered, learning, due_for_review, recent_errors } — escrito post-clase (SRS)</t>
  </si>
  <si>
    <t xml:space="preserve">SLT-03</t>
  </si>
  <si>
    <t xml:space="preserve">interaction_state { turn, elapsed_min, signal, current_phase } — actualizado en vivo por la app</t>
  </si>
  <si>
    <t xml:space="preserve">PRG-01</t>
  </si>
  <si>
    <t xml:space="preserve">progress_policy</t>
  </si>
  <si>
    <t xml:space="preserve">Post-clase: mover ítems dominados a Mastered; agendar Due_For_Review (SRS)</t>
  </si>
  <si>
    <t xml:space="preserve">PRG-02</t>
  </si>
  <si>
    <t xml:space="preserve">Registrar Recent_Errors en silencio durante la sesión para usarlos en el cierre</t>
  </si>
  <si>
    <t xml:space="preserve">Tópico</t>
  </si>
  <si>
    <t xml:space="preserve">Subcategoría</t>
  </si>
  <si>
    <t xml:space="preserve">Vocab clave</t>
  </si>
  <si>
    <t xml:space="preserve">Frases clave</t>
  </si>
  <si>
    <t xml:space="preserve">Objetivo</t>
  </si>
  <si>
    <t xml:space="preserve">Bandas aptas</t>
  </si>
  <si>
    <t xml:space="preserve">El mundo de los dinosaurios</t>
  </si>
  <si>
    <t xml:space="preserve">Espacio y ciencia</t>
  </si>
  <si>
    <t xml:space="preserve">Prehistoria</t>
  </si>
  <si>
    <t xml:space="preserve">Dino, Egg</t>
  </si>
  <si>
    <t xml:space="preserve">Big dino | A small egg</t>
  </si>
  <si>
    <t xml:space="preserve">nombrar animales y describir tamaños</t>
  </si>
  <si>
    <t xml:space="preserve">early_child,child</t>
  </si>
  <si>
    <t xml:space="preserve">Explorar el espacio</t>
  </si>
  <si>
    <t xml:space="preserve">Astronomía</t>
  </si>
  <si>
    <t xml:space="preserve">Star, Planet</t>
  </si>
  <si>
    <t xml:space="preserve">A bright star | The red planet</t>
  </si>
  <si>
    <t xml:space="preserve">describir el cielo y los planetas</t>
  </si>
  <si>
    <t xml:space="preserve">child,teen,adult</t>
  </si>
  <si>
    <t xml:space="preserve">¿Llegaremos a Marte?</t>
  </si>
  <si>
    <t xml:space="preserve">Mars, Rocket</t>
  </si>
  <si>
    <t xml:space="preserve">Travel to Mars | A big rocket</t>
  </si>
  <si>
    <t xml:space="preserve">opinar sobre el futuro y la exploración</t>
  </si>
  <si>
    <t xml:space="preserve">teen,adult</t>
  </si>
  <si>
    <t xml:space="preserve">Animales del océano</t>
  </si>
  <si>
    <t xml:space="preserve">Naturaleza</t>
  </si>
  <si>
    <t xml:space="preserve">Océanos</t>
  </si>
  <si>
    <t xml:space="preserve">Fish, Whale</t>
  </si>
  <si>
    <t xml:space="preserve">A big whale</t>
  </si>
  <si>
    <t xml:space="preserve">nombrar animales marinos</t>
  </si>
  <si>
    <t xml:space="preserve">early_child,child,teen,adult</t>
  </si>
  <si>
    <t xml:space="preserve">Volcanes</t>
  </si>
  <si>
    <t xml:space="preserve">Geología</t>
  </si>
  <si>
    <t xml:space="preserve">Lava, Erupt</t>
  </si>
  <si>
    <t xml:space="preserve">The volcano erupts</t>
  </si>
  <si>
    <t xml:space="preserve">explicar un fenómeno natural</t>
  </si>
  <si>
    <t xml:space="preserve">Jardines y plantas</t>
  </si>
  <si>
    <t xml:space="preserve">Botánica</t>
  </si>
  <si>
    <t xml:space="preserve">Plant, Flower</t>
  </si>
  <si>
    <t xml:space="preserve">Water the plant</t>
  </si>
  <si>
    <t xml:space="preserve">hablar de rutinas de cuidado</t>
  </si>
  <si>
    <t xml:space="preserve">Fútbol</t>
  </si>
  <si>
    <t xml:space="preserve">Deportes</t>
  </si>
  <si>
    <t xml:space="preserve">Pelota</t>
  </si>
  <si>
    <t xml:space="preserve">Ball, Goal</t>
  </si>
  <si>
    <t xml:space="preserve">Score a goal | Kick the ball</t>
  </si>
  <si>
    <t xml:space="preserve">hablar de un partido</t>
  </si>
  <si>
    <t xml:space="preserve">Escalada</t>
  </si>
  <si>
    <t xml:space="preserve">Aire libre</t>
  </si>
  <si>
    <t xml:space="preserve">Rope, Summit</t>
  </si>
  <si>
    <t xml:space="preserve">Reach the summit | Hold the rope</t>
  </si>
  <si>
    <t xml:space="preserve">describir una actividad al aire libre</t>
  </si>
  <si>
    <t xml:space="preserve">Deportes al aire libre</t>
  </si>
  <si>
    <t xml:space="preserve">Run, Trail</t>
  </si>
  <si>
    <t xml:space="preserve">Run on the trail</t>
  </si>
  <si>
    <t xml:space="preserve">hablar de hábitos y deportes</t>
  </si>
  <si>
    <t xml:space="preserve">Bandas de música</t>
  </si>
  <si>
    <t xml:space="preserve">Cultura y TV</t>
  </si>
  <si>
    <t xml:space="preserve">Música</t>
  </si>
  <si>
    <t xml:space="preserve">Song, Band</t>
  </si>
  <si>
    <t xml:space="preserve">A great song</t>
  </si>
  <si>
    <t xml:space="preserve">expresar gustos musicales</t>
  </si>
  <si>
    <t xml:space="preserve">Cine de aventuras</t>
  </si>
  <si>
    <t xml:space="preserve">Pantalla</t>
  </si>
  <si>
    <t xml:space="preserve">Movie, Hero</t>
  </si>
  <si>
    <t xml:space="preserve">An action movie</t>
  </si>
  <si>
    <t xml:space="preserve">recomendar y opinar sobre películas</t>
  </si>
  <si>
    <t xml:space="preserve">Programas de TV clásicos</t>
  </si>
  <si>
    <t xml:space="preserve">Show, Channel</t>
  </si>
  <si>
    <t xml:space="preserve">A classic show</t>
  </si>
  <si>
    <t xml:space="preserve">recordar y describir programas</t>
  </si>
  <si>
    <t xml:space="preserve">Cómo funcionan los robots</t>
  </si>
  <si>
    <t xml:space="preserve">Tecnología</t>
  </si>
  <si>
    <t xml:space="preserve">Robótica</t>
  </si>
  <si>
    <t xml:space="preserve">Robot, Sensor</t>
  </si>
  <si>
    <t xml:space="preserve">The robot moves</t>
  </si>
  <si>
    <t xml:space="preserve">explicar un proceso técnico</t>
  </si>
  <si>
    <t xml:space="preserve">Videojuegos</t>
  </si>
  <si>
    <t xml:space="preserve">Juegos</t>
  </si>
  <si>
    <t xml:space="preserve">Game, Level</t>
  </si>
  <si>
    <t xml:space="preserve">Win the level</t>
  </si>
  <si>
    <t xml:space="preserve">contar cómo se juega</t>
  </si>
  <si>
    <t xml:space="preserve">Cocina del mundo</t>
  </si>
  <si>
    <t xml:space="preserve">Comida</t>
  </si>
  <si>
    <t xml:space="preserve">Recetas</t>
  </si>
  <si>
    <t xml:space="preserve">Recipe, Dish</t>
  </si>
  <si>
    <t xml:space="preserve">A tasty dish</t>
  </si>
  <si>
    <t xml:space="preserve">describir una receta</t>
  </si>
  <si>
    <t xml:space="preserve">Constructor de orquestación — arrastrá / elegí los IDs de la hoja Reglas por slot</t>
  </si>
  <si>
    <t xml:space="preserve">Banda</t>
  </si>
  <si>
    <t xml:space="preserve">early_child</t>
  </si>
  <si>
    <t xml:space="preserve">Nivel</t>
  </si>
  <si>
    <t xml:space="preserve">A1</t>
  </si>
  <si>
    <t xml:space="preserve">Slot del stack</t>
  </si>
  <si>
    <t xml:space="preserve">Qué IDs entran (regla de armado)</t>
  </si>
  <si>
    <t xml:space="preserve">Ejemplo A · early_child·A1·dinos</t>
  </si>
  <si>
    <t xml:space="preserve">Ejemplo B · adult·B2·Marte</t>
  </si>
  <si>
    <t xml:space="preserve">Tu orquestación</t>
  </si>
  <si>
    <t xml:space="preserve">Todas las RTC-* + ACC-ALL-01 (siempre)</t>
  </si>
  <si>
    <t xml:space="preserve">RTC-ALL-01..05 + ACC-ALL-01</t>
  </si>
  <si>
    <t xml:space="preserve">1 TUT por banda</t>
  </si>
  <si>
    <t xml:space="preserve">1 PED + FBK/MOT por banda</t>
  </si>
  <si>
    <t xml:space="preserve">PED-EC-01 + FBK-KID-01 + MOT-KID-01</t>
  </si>
  <si>
    <t xml:space="preserve">PED-AD-01 + FBK-AD-01 + MOT-AD-01</t>
  </si>
  <si>
    <t xml:space="preserve">EDAD (+TÓPICO)</t>
  </si>
  <si>
    <t xml:space="preserve">1 ACT + 1 RWD por banda</t>
  </si>
  <si>
    <t xml:space="preserve">ACT-EC-01 + RWD-EC-01</t>
  </si>
  <si>
    <t xml:space="preserve">ACT-AD-01 + RWD-AD-01</t>
  </si>
  <si>
    <t xml:space="preserve">SLT-01 (de la DB)</t>
  </si>
  <si>
    <t xml:space="preserve">SLT-02 + PRG-*</t>
  </si>
  <si>
    <t xml:space="preserve">SLT-02 + PRG-01 + PRG-02</t>
  </si>
  <si>
    <t xml:space="preserve">EDAD + NIVEL</t>
  </si>
  <si>
    <t xml:space="preserve">GRD banda (3) + LVL nivel (1) + UNI (3) + SAF + HNT/ERR</t>
  </si>
  <si>
    <t xml:space="preserve">GRD-EC-01..03 + LVL-A1-01 + UNI-ALL-01..03 + SAF-ALL-* + HNT-A1-01 + ERR-A1-01</t>
  </si>
  <si>
    <t xml:space="preserve">GRD-AD-01..03 + LVL-B2-01 + UNI-ALL-01..03 + SAF-ALL-* + HNT-B2-01 + ERR-B2-01</t>
  </si>
  <si>
    <t xml:space="preserve">TÓPICO + NIVEL</t>
  </si>
  <si>
    <t xml:space="preserve">1 TOP (apto a la banda) + DPT por nivel</t>
  </si>
  <si>
    <t xml:space="preserve">TOP-01 + DPT-BAS-01</t>
  </si>
  <si>
    <t xml:space="preserve">TOP-03 + DPT-ADV-01</t>
  </si>
  <si>
    <t xml:space="preserve">PHA grupo (4) + PAC base + PBN nivel</t>
  </si>
  <si>
    <t xml:space="preserve">PHA-KID-01..04 + PAC-EC-01 + PBN-A1-01</t>
  </si>
  <si>
    <t xml:space="preserve">PHA-AD-01..04 + PAC-AD-01 + PBN-B2-01</t>
  </si>
  <si>
    <t xml:space="preserve">FIJO+EDAD+TÓPICO</t>
  </si>
  <si>
    <t xml:space="preserve">TRG grupo (open/cont/close)</t>
  </si>
  <si>
    <t xml:space="preserve">TRG-KID-OPEN/CONT/CLOSE</t>
  </si>
  <si>
    <t xml:space="preserve">TRG-AD-OPEN/CONT/CLOSE</t>
  </si>
  <si>
    <t xml:space="preserve">SLT-03 + IDL-ALL-01</t>
  </si>
  <si>
    <t xml:space="preserve">Cómo usar este catálogo</t>
  </si>
  <si>
    <t xml:space="preserve">Eje de dependencia</t>
  </si>
  <si>
    <t xml:space="preserve">¿De qué depende la regla? Determina si cambia o no.</t>
  </si>
  <si>
    <t xml:space="preserve">Igual para todos. No depende del alumno.</t>
  </si>
  <si>
    <t xml:space="preserve">Depende de la banda: early_child / child / teen / adult.</t>
  </si>
  <si>
    <t xml:space="preserve">Depende del nivel A1..C1. AGNÓSTICO de la edad: B2 = B2 para nene o adulto.</t>
  </si>
  <si>
    <t xml:space="preserve">Dato agnóstico. Zona gris: QUÉ tópico se ofrece se filtra por edad (appropriate_bands).</t>
  </si>
  <si>
    <t xml:space="preserve">No es regla: dato vivo del alumno/sesión (DB / app). El seed solo fija el esquema.</t>
  </si>
  <si>
    <t xml:space="preserve">Prefijos de ID</t>
  </si>
  <si>
    <t xml:space="preserve">TUT / PED / ACT</t>
  </si>
  <si>
    <t xml:space="preserve">tutor · pedagogía · tipo de actividad (EDAD)</t>
  </si>
  <si>
    <t xml:space="preserve">GRD / TRN / QST</t>
  </si>
  <si>
    <t xml:space="preserve">guardas de banda · largo de turno · tipo de pregunta (EDAD)</t>
  </si>
  <si>
    <t xml:space="preserve">LVL / L1 / DPT / PBN</t>
  </si>
  <si>
    <t xml:space="preserve">modificador de nivel · uso de L1 · profundidad · bonus de pacing (NIVEL)</t>
  </si>
  <si>
    <t xml:space="preserve">HNT / ERR</t>
  </si>
  <si>
    <t xml:space="preserve">política de pistas · política de corrección (NIVEL)</t>
  </si>
  <si>
    <t xml:space="preserve">UNI / SAF / PRV / ACC / IDL</t>
  </si>
  <si>
    <t xml:space="preserve">guardas universales · seguridad · privacidad · accesibilidad · timeout (FIJO)</t>
  </si>
  <si>
    <t xml:space="preserve">PHA / PAC</t>
  </si>
  <si>
    <t xml:space="preserve">fases · pacing base (EDAD)</t>
  </si>
  <si>
    <t xml:space="preserve">TRG</t>
  </si>
  <si>
    <t xml:space="preserve">plantillas de apertura/desarrollo/cierre (EDAD + TÓPICO)</t>
  </si>
  <si>
    <t xml:space="preserve">TOP / ONB</t>
  </si>
  <si>
    <t xml:space="preserve">tópicos · onboarding-sequencer (TÓPICO)</t>
  </si>
  <si>
    <t xml:space="preserve">SLT / PRG / RWD / FBK / MOT</t>
  </si>
  <si>
    <t xml:space="preserve">slots runtime · progreso (RUNTIME) · recompensa · feedback · motivación (EDAD)</t>
  </si>
  <si>
    <t xml:space="preserve">Ya existe en el motor actual.</t>
  </si>
  <si>
    <t xml:space="preserve">Lever extra que sugiero para un sistema de este tipo (editable / opcional).</t>
  </si>
  <si>
    <t xml:space="preserve">Flujo de armado</t>
  </si>
  <si>
    <t xml:space="preserve">Para cada sesión: banda(edad) + nivel + tópico -&gt; elegís los IDs por slot en 'Orquestador'.</t>
  </si>
  <si>
    <t xml:space="preserve">Reglas por eje</t>
  </si>
  <si>
    <t xml:space="preserve">Total reglas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</si>
</sst>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44443F"/>
      <name val="Arial"/>
      <family val="0"/>
      <charset val="1"/>
    </font>
    <font>
      <i val="true"/>
      <sz val="10"/>
      <color rgb="FF993C1D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44443F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2C2A"/>
        <bgColor rgb="FF44443F"/>
      </patternFill>
    </fill>
    <fill>
      <patternFill patternType="solid">
        <fgColor rgb="FFE8E8E4"/>
        <bgColor rgb="FFEEEDFE"/>
      </patternFill>
    </fill>
    <fill>
      <patternFill patternType="solid">
        <fgColor rgb="FFFAEEDA"/>
        <bgColor rgb="FFE8E8E4"/>
      </patternFill>
    </fill>
    <fill>
      <patternFill patternType="solid">
        <fgColor rgb="FFFFFFFF"/>
        <bgColor rgb="FFFFFDE7"/>
      </patternFill>
    </fill>
    <fill>
      <patternFill patternType="solid">
        <fgColor rgb="FFEEEDFE"/>
        <bgColor rgb="FFE6F1FB"/>
      </patternFill>
    </fill>
    <fill>
      <patternFill patternType="solid">
        <fgColor rgb="FFE1F5E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C2C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E8E8E4"/>
          <bgColor rgb="FF000000"/>
        </patternFill>
      </fill>
    </dxf>
    <dxf>
      <fill>
        <patternFill patternType="solid">
          <fgColor rgb="FFEEEDF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85041"/>
          <bgColor rgb="FF000000"/>
        </patternFill>
      </fill>
    </dxf>
    <dxf>
      <fill>
        <patternFill patternType="solid">
          <fgColor rgb="FF0C447C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44443F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993C1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633806"/>
      <rgbColor rgb="FFFFFDE7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8E8E4"/>
      <rgbColor rgb="FFFAEE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85041"/>
      <rgbColor rgb="FF44443F"/>
      <rgbColor rgb="FF993C1D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3" t="s">
        <v>11</v>
      </c>
      <c r="D2" s="4" t="s">
        <v>12</v>
      </c>
      <c r="E2" s="5" t="s">
        <v>13</v>
      </c>
      <c r="F2" s="5" t="s">
        <v>14</v>
      </c>
      <c r="G2" s="3" t="s">
        <v>15</v>
      </c>
      <c r="H2" s="3" t="s">
        <v>16</v>
      </c>
      <c r="I2" s="5"/>
    </row>
    <row r="3" customFormat="false" ht="15" hidden="false" customHeight="false" outlineLevel="0" collapsed="false">
      <c r="A3" s="2" t="s">
        <v>17</v>
      </c>
      <c r="B3" s="3" t="s">
        <v>10</v>
      </c>
      <c r="C3" s="3" t="s">
        <v>11</v>
      </c>
      <c r="D3" s="4" t="s">
        <v>12</v>
      </c>
      <c r="E3" s="5" t="s">
        <v>13</v>
      </c>
      <c r="F3" s="5" t="s">
        <v>18</v>
      </c>
      <c r="G3" s="3" t="s">
        <v>15</v>
      </c>
      <c r="H3" s="3" t="s">
        <v>16</v>
      </c>
      <c r="I3" s="5"/>
    </row>
    <row r="4" customFormat="false" ht="15" hidden="false" customHeight="false" outlineLevel="0" collapsed="false">
      <c r="A4" s="2" t="s">
        <v>19</v>
      </c>
      <c r="B4" s="3" t="s">
        <v>10</v>
      </c>
      <c r="C4" s="3" t="s">
        <v>11</v>
      </c>
      <c r="D4" s="4" t="s">
        <v>12</v>
      </c>
      <c r="E4" s="5" t="s">
        <v>13</v>
      </c>
      <c r="F4" s="5" t="s">
        <v>20</v>
      </c>
      <c r="G4" s="3" t="s">
        <v>15</v>
      </c>
      <c r="H4" s="3" t="s">
        <v>16</v>
      </c>
      <c r="I4" s="5"/>
    </row>
    <row r="5" customFormat="false" ht="23.85" hidden="false" customHeight="false" outlineLevel="0" collapsed="false">
      <c r="A5" s="2" t="s">
        <v>21</v>
      </c>
      <c r="B5" s="3" t="s">
        <v>10</v>
      </c>
      <c r="C5" s="3" t="s">
        <v>22</v>
      </c>
      <c r="D5" s="4" t="s">
        <v>12</v>
      </c>
      <c r="E5" s="5" t="s">
        <v>13</v>
      </c>
      <c r="F5" s="5" t="s">
        <v>23</v>
      </c>
      <c r="G5" s="3" t="s">
        <v>15</v>
      </c>
      <c r="H5" s="3" t="s">
        <v>16</v>
      </c>
      <c r="I5" s="5"/>
    </row>
    <row r="6" customFormat="false" ht="23.85" hidden="false" customHeight="false" outlineLevel="0" collapsed="false">
      <c r="A6" s="2" t="s">
        <v>24</v>
      </c>
      <c r="B6" s="3" t="s">
        <v>10</v>
      </c>
      <c r="C6" s="3" t="s">
        <v>11</v>
      </c>
      <c r="D6" s="4" t="s">
        <v>12</v>
      </c>
      <c r="E6" s="5" t="s">
        <v>13</v>
      </c>
      <c r="F6" s="5" t="s">
        <v>25</v>
      </c>
      <c r="G6" s="3" t="s">
        <v>15</v>
      </c>
      <c r="H6" s="3" t="s">
        <v>16</v>
      </c>
      <c r="I6" s="5" t="s">
        <v>26</v>
      </c>
    </row>
    <row r="7" customFormat="false" ht="23.85" hidden="false" customHeight="false" outlineLevel="0" collapsed="false">
      <c r="A7" s="2" t="s">
        <v>27</v>
      </c>
      <c r="B7" s="3" t="s">
        <v>28</v>
      </c>
      <c r="C7" s="3" t="s">
        <v>29</v>
      </c>
      <c r="D7" s="4" t="s">
        <v>12</v>
      </c>
      <c r="E7" s="5" t="s">
        <v>13</v>
      </c>
      <c r="F7" s="5" t="s">
        <v>30</v>
      </c>
      <c r="G7" s="3" t="s">
        <v>15</v>
      </c>
      <c r="H7" s="3" t="s">
        <v>16</v>
      </c>
      <c r="I7" s="5"/>
    </row>
    <row r="8" customFormat="false" ht="15" hidden="false" customHeight="false" outlineLevel="0" collapsed="false">
      <c r="A8" s="2" t="s">
        <v>31</v>
      </c>
      <c r="B8" s="3" t="s">
        <v>28</v>
      </c>
      <c r="C8" s="3" t="s">
        <v>29</v>
      </c>
      <c r="D8" s="4" t="s">
        <v>12</v>
      </c>
      <c r="E8" s="5" t="s">
        <v>13</v>
      </c>
      <c r="F8" s="5" t="s">
        <v>32</v>
      </c>
      <c r="G8" s="3" t="s">
        <v>15</v>
      </c>
      <c r="H8" s="3" t="s">
        <v>16</v>
      </c>
      <c r="I8" s="5"/>
    </row>
    <row r="9" customFormat="false" ht="23.85" hidden="false" customHeight="false" outlineLevel="0" collapsed="false">
      <c r="A9" s="2" t="s">
        <v>33</v>
      </c>
      <c r="B9" s="3" t="s">
        <v>28</v>
      </c>
      <c r="C9" s="3" t="s">
        <v>29</v>
      </c>
      <c r="D9" s="4" t="s">
        <v>12</v>
      </c>
      <c r="E9" s="5" t="s">
        <v>13</v>
      </c>
      <c r="F9" s="5" t="s">
        <v>34</v>
      </c>
      <c r="G9" s="3" t="s">
        <v>15</v>
      </c>
      <c r="H9" s="3" t="s">
        <v>16</v>
      </c>
      <c r="I9" s="5"/>
    </row>
    <row r="10" customFormat="false" ht="15" hidden="false" customHeight="false" outlineLevel="0" collapsed="false">
      <c r="A10" s="2" t="s">
        <v>35</v>
      </c>
      <c r="B10" s="3" t="s">
        <v>28</v>
      </c>
      <c r="C10" s="3" t="s">
        <v>36</v>
      </c>
      <c r="D10" s="4" t="s">
        <v>12</v>
      </c>
      <c r="E10" s="5" t="s">
        <v>13</v>
      </c>
      <c r="F10" s="5" t="s">
        <v>37</v>
      </c>
      <c r="G10" s="6" t="s">
        <v>38</v>
      </c>
      <c r="H10" s="3" t="s">
        <v>16</v>
      </c>
      <c r="I10" s="5" t="s">
        <v>39</v>
      </c>
    </row>
    <row r="11" customFormat="false" ht="15" hidden="false" customHeight="false" outlineLevel="0" collapsed="false">
      <c r="A11" s="2" t="s">
        <v>40</v>
      </c>
      <c r="B11" s="3" t="s">
        <v>28</v>
      </c>
      <c r="C11" s="3" t="s">
        <v>36</v>
      </c>
      <c r="D11" s="4" t="s">
        <v>12</v>
      </c>
      <c r="E11" s="5" t="s">
        <v>13</v>
      </c>
      <c r="F11" s="5" t="s">
        <v>41</v>
      </c>
      <c r="G11" s="6" t="s">
        <v>38</v>
      </c>
      <c r="H11" s="3" t="s">
        <v>16</v>
      </c>
      <c r="I11" s="5"/>
    </row>
    <row r="12" customFormat="false" ht="15" hidden="false" customHeight="false" outlineLevel="0" collapsed="false">
      <c r="A12" s="2" t="s">
        <v>42</v>
      </c>
      <c r="B12" s="3" t="s">
        <v>28</v>
      </c>
      <c r="C12" s="3" t="s">
        <v>36</v>
      </c>
      <c r="D12" s="4" t="s">
        <v>12</v>
      </c>
      <c r="E12" s="5" t="s">
        <v>13</v>
      </c>
      <c r="F12" s="5" t="s">
        <v>43</v>
      </c>
      <c r="G12" s="6" t="s">
        <v>38</v>
      </c>
      <c r="H12" s="3" t="s">
        <v>16</v>
      </c>
      <c r="I12" s="5"/>
    </row>
    <row r="13" customFormat="false" ht="15" hidden="false" customHeight="false" outlineLevel="0" collapsed="false">
      <c r="A13" s="2" t="s">
        <v>44</v>
      </c>
      <c r="B13" s="3" t="s">
        <v>28</v>
      </c>
      <c r="C13" s="3" t="s">
        <v>36</v>
      </c>
      <c r="D13" s="4" t="s">
        <v>12</v>
      </c>
      <c r="E13" s="5" t="s">
        <v>13</v>
      </c>
      <c r="F13" s="5" t="s">
        <v>45</v>
      </c>
      <c r="G13" s="6" t="s">
        <v>38</v>
      </c>
      <c r="H13" s="3" t="s">
        <v>16</v>
      </c>
      <c r="I13" s="5"/>
    </row>
    <row r="14" customFormat="false" ht="23.85" hidden="false" customHeight="false" outlineLevel="0" collapsed="false">
      <c r="A14" s="2" t="s">
        <v>46</v>
      </c>
      <c r="B14" s="3" t="s">
        <v>47</v>
      </c>
      <c r="C14" s="3" t="s">
        <v>48</v>
      </c>
      <c r="D14" s="4" t="s">
        <v>12</v>
      </c>
      <c r="E14" s="5" t="s">
        <v>13</v>
      </c>
      <c r="F14" s="5" t="s">
        <v>49</v>
      </c>
      <c r="G14" s="6" t="s">
        <v>38</v>
      </c>
      <c r="H14" s="3" t="s">
        <v>16</v>
      </c>
      <c r="I14" s="5"/>
    </row>
    <row r="15" customFormat="false" ht="15" hidden="false" customHeight="false" outlineLevel="0" collapsed="false">
      <c r="A15" s="2" t="s">
        <v>50</v>
      </c>
      <c r="B15" s="3" t="s">
        <v>10</v>
      </c>
      <c r="C15" s="3" t="s">
        <v>51</v>
      </c>
      <c r="D15" s="4" t="s">
        <v>12</v>
      </c>
      <c r="E15" s="5" t="s">
        <v>13</v>
      </c>
      <c r="F15" s="5" t="s">
        <v>52</v>
      </c>
      <c r="G15" s="6" t="s">
        <v>38</v>
      </c>
      <c r="H15" s="3" t="s">
        <v>53</v>
      </c>
      <c r="I15" s="5"/>
    </row>
    <row r="16" customFormat="false" ht="15" hidden="false" customHeight="false" outlineLevel="0" collapsed="false">
      <c r="A16" s="2" t="s">
        <v>54</v>
      </c>
      <c r="B16" s="3" t="s">
        <v>55</v>
      </c>
      <c r="C16" s="3" t="s">
        <v>56</v>
      </c>
      <c r="D16" s="4" t="s">
        <v>12</v>
      </c>
      <c r="E16" s="5" t="s">
        <v>13</v>
      </c>
      <c r="F16" s="5" t="s">
        <v>57</v>
      </c>
      <c r="G16" s="6" t="s">
        <v>38</v>
      </c>
      <c r="H16" s="3" t="s">
        <v>53</v>
      </c>
      <c r="I16" s="5"/>
    </row>
    <row r="17" customFormat="false" ht="23.85" hidden="false" customHeight="false" outlineLevel="0" collapsed="false">
      <c r="A17" s="2" t="s">
        <v>58</v>
      </c>
      <c r="B17" s="3" t="s">
        <v>59</v>
      </c>
      <c r="C17" s="3" t="s">
        <v>60</v>
      </c>
      <c r="D17" s="7" t="s">
        <v>61</v>
      </c>
      <c r="E17" s="5" t="s">
        <v>62</v>
      </c>
      <c r="F17" s="5" t="s">
        <v>63</v>
      </c>
      <c r="G17" s="3" t="s">
        <v>15</v>
      </c>
      <c r="H17" s="3" t="s">
        <v>53</v>
      </c>
      <c r="I17" s="5"/>
    </row>
    <row r="18" customFormat="false" ht="23.85" hidden="false" customHeight="false" outlineLevel="0" collapsed="false">
      <c r="A18" s="2" t="s">
        <v>64</v>
      </c>
      <c r="B18" s="3" t="s">
        <v>59</v>
      </c>
      <c r="C18" s="3" t="s">
        <v>60</v>
      </c>
      <c r="D18" s="7" t="s">
        <v>61</v>
      </c>
      <c r="E18" s="5" t="s">
        <v>65</v>
      </c>
      <c r="F18" s="5" t="s">
        <v>66</v>
      </c>
      <c r="G18" s="3" t="s">
        <v>15</v>
      </c>
      <c r="H18" s="3" t="s">
        <v>53</v>
      </c>
      <c r="I18" s="5"/>
    </row>
    <row r="19" customFormat="false" ht="23.85" hidden="false" customHeight="false" outlineLevel="0" collapsed="false">
      <c r="A19" s="2" t="s">
        <v>67</v>
      </c>
      <c r="B19" s="3" t="s">
        <v>59</v>
      </c>
      <c r="C19" s="3" t="s">
        <v>60</v>
      </c>
      <c r="D19" s="7" t="s">
        <v>61</v>
      </c>
      <c r="E19" s="5" t="s">
        <v>68</v>
      </c>
      <c r="F19" s="5" t="s">
        <v>69</v>
      </c>
      <c r="G19" s="3" t="s">
        <v>15</v>
      </c>
      <c r="H19" s="3" t="s">
        <v>53</v>
      </c>
      <c r="I19" s="5"/>
    </row>
    <row r="20" customFormat="false" ht="23.85" hidden="false" customHeight="false" outlineLevel="0" collapsed="false">
      <c r="A20" s="2" t="s">
        <v>70</v>
      </c>
      <c r="B20" s="3" t="s">
        <v>59</v>
      </c>
      <c r="C20" s="3" t="s">
        <v>60</v>
      </c>
      <c r="D20" s="7" t="s">
        <v>61</v>
      </c>
      <c r="E20" s="5" t="s">
        <v>71</v>
      </c>
      <c r="F20" s="5" t="s">
        <v>72</v>
      </c>
      <c r="G20" s="3" t="s">
        <v>15</v>
      </c>
      <c r="H20" s="3" t="s">
        <v>53</v>
      </c>
      <c r="I20" s="5"/>
    </row>
    <row r="21" customFormat="false" ht="23.85" hidden="false" customHeight="false" outlineLevel="0" collapsed="false">
      <c r="A21" s="2" t="s">
        <v>73</v>
      </c>
      <c r="B21" s="3" t="s">
        <v>74</v>
      </c>
      <c r="C21" s="3" t="s">
        <v>75</v>
      </c>
      <c r="D21" s="7" t="s">
        <v>61</v>
      </c>
      <c r="E21" s="5" t="s">
        <v>62</v>
      </c>
      <c r="F21" s="5" t="s">
        <v>76</v>
      </c>
      <c r="G21" s="3" t="s">
        <v>15</v>
      </c>
      <c r="H21" s="3" t="s">
        <v>53</v>
      </c>
      <c r="I21" s="5"/>
    </row>
    <row r="22" customFormat="false" ht="23.85" hidden="false" customHeight="false" outlineLevel="0" collapsed="false">
      <c r="A22" s="2" t="s">
        <v>77</v>
      </c>
      <c r="B22" s="3" t="s">
        <v>74</v>
      </c>
      <c r="C22" s="3" t="s">
        <v>75</v>
      </c>
      <c r="D22" s="7" t="s">
        <v>61</v>
      </c>
      <c r="E22" s="5" t="s">
        <v>65</v>
      </c>
      <c r="F22" s="5" t="s">
        <v>78</v>
      </c>
      <c r="G22" s="3" t="s">
        <v>15</v>
      </c>
      <c r="H22" s="3" t="s">
        <v>53</v>
      </c>
      <c r="I22" s="5"/>
    </row>
    <row r="23" customFormat="false" ht="15" hidden="false" customHeight="false" outlineLevel="0" collapsed="false">
      <c r="A23" s="2" t="s">
        <v>79</v>
      </c>
      <c r="B23" s="3" t="s">
        <v>74</v>
      </c>
      <c r="C23" s="3" t="s">
        <v>75</v>
      </c>
      <c r="D23" s="7" t="s">
        <v>61</v>
      </c>
      <c r="E23" s="5" t="s">
        <v>68</v>
      </c>
      <c r="F23" s="5" t="s">
        <v>80</v>
      </c>
      <c r="G23" s="3" t="s">
        <v>15</v>
      </c>
      <c r="H23" s="3" t="s">
        <v>53</v>
      </c>
      <c r="I23" s="5"/>
    </row>
    <row r="24" customFormat="false" ht="23.85" hidden="false" customHeight="false" outlineLevel="0" collapsed="false">
      <c r="A24" s="2" t="s">
        <v>81</v>
      </c>
      <c r="B24" s="3" t="s">
        <v>74</v>
      </c>
      <c r="C24" s="3" t="s">
        <v>75</v>
      </c>
      <c r="D24" s="7" t="s">
        <v>61</v>
      </c>
      <c r="E24" s="5" t="s">
        <v>71</v>
      </c>
      <c r="F24" s="5" t="s">
        <v>82</v>
      </c>
      <c r="G24" s="3" t="s">
        <v>15</v>
      </c>
      <c r="H24" s="3" t="s">
        <v>53</v>
      </c>
      <c r="I24" s="5"/>
    </row>
    <row r="25" customFormat="false" ht="15" hidden="false" customHeight="false" outlineLevel="0" collapsed="false">
      <c r="A25" s="2" t="s">
        <v>83</v>
      </c>
      <c r="B25" s="3" t="s">
        <v>84</v>
      </c>
      <c r="C25" s="3" t="s">
        <v>85</v>
      </c>
      <c r="D25" s="7" t="s">
        <v>61</v>
      </c>
      <c r="E25" s="5" t="s">
        <v>62</v>
      </c>
      <c r="F25" s="5" t="s">
        <v>86</v>
      </c>
      <c r="G25" s="3" t="s">
        <v>15</v>
      </c>
      <c r="H25" s="3" t="s">
        <v>53</v>
      </c>
      <c r="I25" s="5"/>
    </row>
    <row r="26" customFormat="false" ht="15" hidden="false" customHeight="false" outlineLevel="0" collapsed="false">
      <c r="A26" s="2" t="s">
        <v>87</v>
      </c>
      <c r="B26" s="3" t="s">
        <v>84</v>
      </c>
      <c r="C26" s="3" t="s">
        <v>85</v>
      </c>
      <c r="D26" s="7" t="s">
        <v>61</v>
      </c>
      <c r="E26" s="5" t="s">
        <v>65</v>
      </c>
      <c r="F26" s="5" t="s">
        <v>88</v>
      </c>
      <c r="G26" s="3" t="s">
        <v>15</v>
      </c>
      <c r="H26" s="3" t="s">
        <v>53</v>
      </c>
      <c r="I26" s="5"/>
    </row>
    <row r="27" customFormat="false" ht="15" hidden="false" customHeight="false" outlineLevel="0" collapsed="false">
      <c r="A27" s="2" t="s">
        <v>89</v>
      </c>
      <c r="B27" s="3" t="s">
        <v>84</v>
      </c>
      <c r="C27" s="3" t="s">
        <v>85</v>
      </c>
      <c r="D27" s="7" t="s">
        <v>61</v>
      </c>
      <c r="E27" s="5" t="s">
        <v>68</v>
      </c>
      <c r="F27" s="5" t="s">
        <v>90</v>
      </c>
      <c r="G27" s="3" t="s">
        <v>15</v>
      </c>
      <c r="H27" s="3" t="s">
        <v>53</v>
      </c>
      <c r="I27" s="5"/>
    </row>
    <row r="28" customFormat="false" ht="15" hidden="false" customHeight="false" outlineLevel="0" collapsed="false">
      <c r="A28" s="2" t="s">
        <v>91</v>
      </c>
      <c r="B28" s="3" t="s">
        <v>84</v>
      </c>
      <c r="C28" s="3" t="s">
        <v>85</v>
      </c>
      <c r="D28" s="7" t="s">
        <v>61</v>
      </c>
      <c r="E28" s="5" t="s">
        <v>71</v>
      </c>
      <c r="F28" s="5" t="s">
        <v>92</v>
      </c>
      <c r="G28" s="3" t="s">
        <v>15</v>
      </c>
      <c r="H28" s="3" t="s">
        <v>53</v>
      </c>
      <c r="I28" s="5"/>
    </row>
    <row r="29" customFormat="false" ht="15" hidden="false" customHeight="false" outlineLevel="0" collapsed="false">
      <c r="A29" s="2" t="s">
        <v>93</v>
      </c>
      <c r="B29" s="3" t="s">
        <v>28</v>
      </c>
      <c r="C29" s="3" t="s">
        <v>94</v>
      </c>
      <c r="D29" s="7" t="s">
        <v>61</v>
      </c>
      <c r="E29" s="5" t="s">
        <v>62</v>
      </c>
      <c r="F29" s="5" t="s">
        <v>95</v>
      </c>
      <c r="G29" s="3" t="s">
        <v>15</v>
      </c>
      <c r="H29" s="3" t="s">
        <v>53</v>
      </c>
      <c r="I29" s="5"/>
    </row>
    <row r="30" customFormat="false" ht="15" hidden="false" customHeight="false" outlineLevel="0" collapsed="false">
      <c r="A30" s="2" t="s">
        <v>96</v>
      </c>
      <c r="B30" s="3" t="s">
        <v>28</v>
      </c>
      <c r="C30" s="3" t="s">
        <v>94</v>
      </c>
      <c r="D30" s="7" t="s">
        <v>61</v>
      </c>
      <c r="E30" s="5" t="s">
        <v>62</v>
      </c>
      <c r="F30" s="5" t="s">
        <v>97</v>
      </c>
      <c r="G30" s="3" t="s">
        <v>15</v>
      </c>
      <c r="H30" s="3" t="s">
        <v>53</v>
      </c>
      <c r="I30" s="5"/>
    </row>
    <row r="31" customFormat="false" ht="15" hidden="false" customHeight="false" outlineLevel="0" collapsed="false">
      <c r="A31" s="2" t="s">
        <v>98</v>
      </c>
      <c r="B31" s="3" t="s">
        <v>28</v>
      </c>
      <c r="C31" s="3" t="s">
        <v>94</v>
      </c>
      <c r="D31" s="7" t="s">
        <v>61</v>
      </c>
      <c r="E31" s="5" t="s">
        <v>62</v>
      </c>
      <c r="F31" s="5" t="s">
        <v>99</v>
      </c>
      <c r="G31" s="3" t="s">
        <v>15</v>
      </c>
      <c r="H31" s="3" t="s">
        <v>53</v>
      </c>
      <c r="I31" s="5"/>
    </row>
    <row r="32" customFormat="false" ht="15" hidden="false" customHeight="false" outlineLevel="0" collapsed="false">
      <c r="A32" s="2" t="s">
        <v>100</v>
      </c>
      <c r="B32" s="3" t="s">
        <v>28</v>
      </c>
      <c r="C32" s="3" t="s">
        <v>94</v>
      </c>
      <c r="D32" s="7" t="s">
        <v>61</v>
      </c>
      <c r="E32" s="5" t="s">
        <v>65</v>
      </c>
      <c r="F32" s="5" t="s">
        <v>101</v>
      </c>
      <c r="G32" s="3" t="s">
        <v>15</v>
      </c>
      <c r="H32" s="3" t="s">
        <v>53</v>
      </c>
      <c r="I32" s="5"/>
    </row>
    <row r="33" customFormat="false" ht="15" hidden="false" customHeight="false" outlineLevel="0" collapsed="false">
      <c r="A33" s="2" t="s">
        <v>102</v>
      </c>
      <c r="B33" s="3" t="s">
        <v>28</v>
      </c>
      <c r="C33" s="3" t="s">
        <v>94</v>
      </c>
      <c r="D33" s="7" t="s">
        <v>61</v>
      </c>
      <c r="E33" s="5" t="s">
        <v>65</v>
      </c>
      <c r="F33" s="5" t="s">
        <v>103</v>
      </c>
      <c r="G33" s="3" t="s">
        <v>15</v>
      </c>
      <c r="H33" s="3" t="s">
        <v>53</v>
      </c>
      <c r="I33" s="5"/>
    </row>
    <row r="34" customFormat="false" ht="15" hidden="false" customHeight="false" outlineLevel="0" collapsed="false">
      <c r="A34" s="2" t="s">
        <v>104</v>
      </c>
      <c r="B34" s="3" t="s">
        <v>28</v>
      </c>
      <c r="C34" s="3" t="s">
        <v>94</v>
      </c>
      <c r="D34" s="7" t="s">
        <v>61</v>
      </c>
      <c r="E34" s="5" t="s">
        <v>65</v>
      </c>
      <c r="F34" s="5" t="s">
        <v>105</v>
      </c>
      <c r="G34" s="3" t="s">
        <v>15</v>
      </c>
      <c r="H34" s="3" t="s">
        <v>53</v>
      </c>
      <c r="I34" s="5"/>
    </row>
    <row r="35" customFormat="false" ht="15" hidden="false" customHeight="false" outlineLevel="0" collapsed="false">
      <c r="A35" s="2" t="s">
        <v>106</v>
      </c>
      <c r="B35" s="3" t="s">
        <v>28</v>
      </c>
      <c r="C35" s="3" t="s">
        <v>94</v>
      </c>
      <c r="D35" s="7" t="s">
        <v>61</v>
      </c>
      <c r="E35" s="5" t="s">
        <v>68</v>
      </c>
      <c r="F35" s="5" t="s">
        <v>107</v>
      </c>
      <c r="G35" s="3" t="s">
        <v>15</v>
      </c>
      <c r="H35" s="3" t="s">
        <v>53</v>
      </c>
      <c r="I35" s="5"/>
    </row>
    <row r="36" customFormat="false" ht="15" hidden="false" customHeight="false" outlineLevel="0" collapsed="false">
      <c r="A36" s="2" t="s">
        <v>108</v>
      </c>
      <c r="B36" s="3" t="s">
        <v>28</v>
      </c>
      <c r="C36" s="3" t="s">
        <v>94</v>
      </c>
      <c r="D36" s="7" t="s">
        <v>61</v>
      </c>
      <c r="E36" s="5" t="s">
        <v>68</v>
      </c>
      <c r="F36" s="5" t="s">
        <v>109</v>
      </c>
      <c r="G36" s="3" t="s">
        <v>15</v>
      </c>
      <c r="H36" s="3" t="s">
        <v>53</v>
      </c>
      <c r="I36" s="5"/>
    </row>
    <row r="37" customFormat="false" ht="15" hidden="false" customHeight="false" outlineLevel="0" collapsed="false">
      <c r="A37" s="2" t="s">
        <v>110</v>
      </c>
      <c r="B37" s="3" t="s">
        <v>28</v>
      </c>
      <c r="C37" s="3" t="s">
        <v>94</v>
      </c>
      <c r="D37" s="7" t="s">
        <v>61</v>
      </c>
      <c r="E37" s="5" t="s">
        <v>68</v>
      </c>
      <c r="F37" s="5" t="s">
        <v>111</v>
      </c>
      <c r="G37" s="3" t="s">
        <v>15</v>
      </c>
      <c r="H37" s="3" t="s">
        <v>53</v>
      </c>
      <c r="I37" s="5"/>
    </row>
    <row r="38" customFormat="false" ht="15" hidden="false" customHeight="false" outlineLevel="0" collapsed="false">
      <c r="A38" s="2" t="s">
        <v>112</v>
      </c>
      <c r="B38" s="3" t="s">
        <v>28</v>
      </c>
      <c r="C38" s="3" t="s">
        <v>94</v>
      </c>
      <c r="D38" s="7" t="s">
        <v>61</v>
      </c>
      <c r="E38" s="5" t="s">
        <v>71</v>
      </c>
      <c r="F38" s="5" t="s">
        <v>113</v>
      </c>
      <c r="G38" s="3" t="s">
        <v>15</v>
      </c>
      <c r="H38" s="3" t="s">
        <v>53</v>
      </c>
      <c r="I38" s="5"/>
    </row>
    <row r="39" customFormat="false" ht="15" hidden="false" customHeight="false" outlineLevel="0" collapsed="false">
      <c r="A39" s="2" t="s">
        <v>114</v>
      </c>
      <c r="B39" s="3" t="s">
        <v>28</v>
      </c>
      <c r="C39" s="3" t="s">
        <v>94</v>
      </c>
      <c r="D39" s="7" t="s">
        <v>61</v>
      </c>
      <c r="E39" s="5" t="s">
        <v>71</v>
      </c>
      <c r="F39" s="5" t="s">
        <v>115</v>
      </c>
      <c r="G39" s="3" t="s">
        <v>15</v>
      </c>
      <c r="H39" s="3" t="s">
        <v>53</v>
      </c>
      <c r="I39" s="5"/>
    </row>
    <row r="40" customFormat="false" ht="15" hidden="false" customHeight="false" outlineLevel="0" collapsed="false">
      <c r="A40" s="2" t="s">
        <v>116</v>
      </c>
      <c r="B40" s="3" t="s">
        <v>28</v>
      </c>
      <c r="C40" s="3" t="s">
        <v>94</v>
      </c>
      <c r="D40" s="7" t="s">
        <v>61</v>
      </c>
      <c r="E40" s="5" t="s">
        <v>71</v>
      </c>
      <c r="F40" s="5" t="s">
        <v>117</v>
      </c>
      <c r="G40" s="3" t="s">
        <v>15</v>
      </c>
      <c r="H40" s="3" t="s">
        <v>53</v>
      </c>
      <c r="I40" s="5"/>
    </row>
    <row r="41" customFormat="false" ht="15" hidden="false" customHeight="false" outlineLevel="0" collapsed="false">
      <c r="A41" s="2" t="s">
        <v>118</v>
      </c>
      <c r="B41" s="3" t="s">
        <v>119</v>
      </c>
      <c r="C41" s="3" t="s">
        <v>120</v>
      </c>
      <c r="D41" s="7" t="s">
        <v>61</v>
      </c>
      <c r="E41" s="5" t="s">
        <v>121</v>
      </c>
      <c r="F41" s="5" t="s">
        <v>122</v>
      </c>
      <c r="G41" s="3" t="s">
        <v>15</v>
      </c>
      <c r="H41" s="3" t="s">
        <v>53</v>
      </c>
      <c r="I41" s="5"/>
    </row>
    <row r="42" customFormat="false" ht="15" hidden="false" customHeight="false" outlineLevel="0" collapsed="false">
      <c r="A42" s="2" t="s">
        <v>123</v>
      </c>
      <c r="B42" s="3" t="s">
        <v>119</v>
      </c>
      <c r="C42" s="3" t="s">
        <v>120</v>
      </c>
      <c r="D42" s="7" t="s">
        <v>61</v>
      </c>
      <c r="E42" s="5" t="s">
        <v>121</v>
      </c>
      <c r="F42" s="5" t="s">
        <v>124</v>
      </c>
      <c r="G42" s="3" t="s">
        <v>15</v>
      </c>
      <c r="H42" s="3" t="s">
        <v>53</v>
      </c>
      <c r="I42" s="5"/>
    </row>
    <row r="43" customFormat="false" ht="15" hidden="false" customHeight="false" outlineLevel="0" collapsed="false">
      <c r="A43" s="2" t="s">
        <v>125</v>
      </c>
      <c r="B43" s="3" t="s">
        <v>119</v>
      </c>
      <c r="C43" s="3" t="s">
        <v>120</v>
      </c>
      <c r="D43" s="7" t="s">
        <v>61</v>
      </c>
      <c r="E43" s="5" t="s">
        <v>121</v>
      </c>
      <c r="F43" s="5" t="s">
        <v>126</v>
      </c>
      <c r="G43" s="3" t="s">
        <v>15</v>
      </c>
      <c r="H43" s="3" t="s">
        <v>53</v>
      </c>
      <c r="I43" s="5"/>
    </row>
    <row r="44" customFormat="false" ht="15" hidden="false" customHeight="false" outlineLevel="0" collapsed="false">
      <c r="A44" s="2" t="s">
        <v>127</v>
      </c>
      <c r="B44" s="3" t="s">
        <v>119</v>
      </c>
      <c r="C44" s="3" t="s">
        <v>120</v>
      </c>
      <c r="D44" s="7" t="s">
        <v>61</v>
      </c>
      <c r="E44" s="5" t="s">
        <v>121</v>
      </c>
      <c r="F44" s="5" t="s">
        <v>128</v>
      </c>
      <c r="G44" s="3" t="s">
        <v>15</v>
      </c>
      <c r="H44" s="3" t="s">
        <v>53</v>
      </c>
      <c r="I44" s="5"/>
    </row>
    <row r="45" customFormat="false" ht="15" hidden="false" customHeight="false" outlineLevel="0" collapsed="false">
      <c r="A45" s="2" t="s">
        <v>129</v>
      </c>
      <c r="B45" s="3" t="s">
        <v>119</v>
      </c>
      <c r="C45" s="3" t="s">
        <v>120</v>
      </c>
      <c r="D45" s="7" t="s">
        <v>61</v>
      </c>
      <c r="E45" s="5" t="s">
        <v>130</v>
      </c>
      <c r="F45" s="5" t="s">
        <v>131</v>
      </c>
      <c r="G45" s="3" t="s">
        <v>15</v>
      </c>
      <c r="H45" s="3" t="s">
        <v>53</v>
      </c>
      <c r="I45" s="5"/>
    </row>
    <row r="46" customFormat="false" ht="15" hidden="false" customHeight="false" outlineLevel="0" collapsed="false">
      <c r="A46" s="2" t="s">
        <v>132</v>
      </c>
      <c r="B46" s="3" t="s">
        <v>119</v>
      </c>
      <c r="C46" s="3" t="s">
        <v>120</v>
      </c>
      <c r="D46" s="7" t="s">
        <v>61</v>
      </c>
      <c r="E46" s="5" t="s">
        <v>130</v>
      </c>
      <c r="F46" s="5" t="s">
        <v>133</v>
      </c>
      <c r="G46" s="3" t="s">
        <v>15</v>
      </c>
      <c r="H46" s="3" t="s">
        <v>53</v>
      </c>
      <c r="I46" s="5"/>
    </row>
    <row r="47" customFormat="false" ht="15" hidden="false" customHeight="false" outlineLevel="0" collapsed="false">
      <c r="A47" s="2" t="s">
        <v>134</v>
      </c>
      <c r="B47" s="3" t="s">
        <v>119</v>
      </c>
      <c r="C47" s="3" t="s">
        <v>120</v>
      </c>
      <c r="D47" s="7" t="s">
        <v>61</v>
      </c>
      <c r="E47" s="5" t="s">
        <v>130</v>
      </c>
      <c r="F47" s="5" t="s">
        <v>135</v>
      </c>
      <c r="G47" s="3" t="s">
        <v>15</v>
      </c>
      <c r="H47" s="3" t="s">
        <v>53</v>
      </c>
      <c r="I47" s="5"/>
    </row>
    <row r="48" customFormat="false" ht="15" hidden="false" customHeight="false" outlineLevel="0" collapsed="false">
      <c r="A48" s="2" t="s">
        <v>136</v>
      </c>
      <c r="B48" s="3" t="s">
        <v>119</v>
      </c>
      <c r="C48" s="3" t="s">
        <v>120</v>
      </c>
      <c r="D48" s="7" t="s">
        <v>61</v>
      </c>
      <c r="E48" s="5" t="s">
        <v>130</v>
      </c>
      <c r="F48" s="5" t="s">
        <v>137</v>
      </c>
      <c r="G48" s="3" t="s">
        <v>15</v>
      </c>
      <c r="H48" s="3" t="s">
        <v>53</v>
      </c>
      <c r="I48" s="5"/>
    </row>
    <row r="49" customFormat="false" ht="15" hidden="false" customHeight="false" outlineLevel="0" collapsed="false">
      <c r="A49" s="2" t="s">
        <v>138</v>
      </c>
      <c r="B49" s="3" t="s">
        <v>119</v>
      </c>
      <c r="C49" s="3" t="s">
        <v>139</v>
      </c>
      <c r="D49" s="7" t="s">
        <v>61</v>
      </c>
      <c r="E49" s="5" t="s">
        <v>62</v>
      </c>
      <c r="F49" s="5" t="s">
        <v>140</v>
      </c>
      <c r="G49" s="3" t="s">
        <v>15</v>
      </c>
      <c r="H49" s="3" t="s">
        <v>53</v>
      </c>
      <c r="I49" s="5"/>
    </row>
    <row r="50" customFormat="false" ht="15" hidden="false" customHeight="false" outlineLevel="0" collapsed="false">
      <c r="A50" s="2" t="s">
        <v>141</v>
      </c>
      <c r="B50" s="3" t="s">
        <v>119</v>
      </c>
      <c r="C50" s="3" t="s">
        <v>139</v>
      </c>
      <c r="D50" s="7" t="s">
        <v>61</v>
      </c>
      <c r="E50" s="5" t="s">
        <v>65</v>
      </c>
      <c r="F50" s="5" t="s">
        <v>142</v>
      </c>
      <c r="G50" s="3" t="s">
        <v>15</v>
      </c>
      <c r="H50" s="3" t="s">
        <v>53</v>
      </c>
      <c r="I50" s="5"/>
    </row>
    <row r="51" customFormat="false" ht="15" hidden="false" customHeight="false" outlineLevel="0" collapsed="false">
      <c r="A51" s="2" t="s">
        <v>143</v>
      </c>
      <c r="B51" s="3" t="s">
        <v>119</v>
      </c>
      <c r="C51" s="3" t="s">
        <v>139</v>
      </c>
      <c r="D51" s="7" t="s">
        <v>61</v>
      </c>
      <c r="E51" s="5" t="s">
        <v>68</v>
      </c>
      <c r="F51" s="5" t="s">
        <v>144</v>
      </c>
      <c r="G51" s="3" t="s">
        <v>15</v>
      </c>
      <c r="H51" s="3" t="s">
        <v>53</v>
      </c>
      <c r="I51" s="5"/>
    </row>
    <row r="52" customFormat="false" ht="15" hidden="false" customHeight="false" outlineLevel="0" collapsed="false">
      <c r="A52" s="2" t="s">
        <v>145</v>
      </c>
      <c r="B52" s="3" t="s">
        <v>119</v>
      </c>
      <c r="C52" s="3" t="s">
        <v>139</v>
      </c>
      <c r="D52" s="7" t="s">
        <v>61</v>
      </c>
      <c r="E52" s="5" t="s">
        <v>71</v>
      </c>
      <c r="F52" s="5" t="s">
        <v>146</v>
      </c>
      <c r="G52" s="3" t="s">
        <v>15</v>
      </c>
      <c r="H52" s="3" t="s">
        <v>53</v>
      </c>
      <c r="I52" s="5"/>
    </row>
    <row r="53" customFormat="false" ht="23.85" hidden="false" customHeight="false" outlineLevel="0" collapsed="false">
      <c r="A53" s="2" t="s">
        <v>147</v>
      </c>
      <c r="B53" s="3" t="s">
        <v>148</v>
      </c>
      <c r="C53" s="3" t="s">
        <v>149</v>
      </c>
      <c r="D53" s="8" t="s">
        <v>150</v>
      </c>
      <c r="E53" s="5" t="s">
        <v>121</v>
      </c>
      <c r="F53" s="5" t="s">
        <v>151</v>
      </c>
      <c r="G53" s="3" t="s">
        <v>15</v>
      </c>
      <c r="H53" s="3" t="s">
        <v>53</v>
      </c>
      <c r="I53" s="5"/>
    </row>
    <row r="54" customFormat="false" ht="23.85" hidden="false" customHeight="false" outlineLevel="0" collapsed="false">
      <c r="A54" s="2" t="s">
        <v>152</v>
      </c>
      <c r="B54" s="3" t="s">
        <v>148</v>
      </c>
      <c r="C54" s="3" t="s">
        <v>149</v>
      </c>
      <c r="D54" s="8" t="s">
        <v>150</v>
      </c>
      <c r="E54" s="5" t="s">
        <v>121</v>
      </c>
      <c r="F54" s="5" t="s">
        <v>153</v>
      </c>
      <c r="G54" s="3" t="s">
        <v>15</v>
      </c>
      <c r="H54" s="3" t="s">
        <v>53</v>
      </c>
      <c r="I54" s="5"/>
    </row>
    <row r="55" customFormat="false" ht="23.85" hidden="false" customHeight="false" outlineLevel="0" collapsed="false">
      <c r="A55" s="2" t="s">
        <v>154</v>
      </c>
      <c r="B55" s="3" t="s">
        <v>148</v>
      </c>
      <c r="C55" s="3" t="s">
        <v>149</v>
      </c>
      <c r="D55" s="8" t="s">
        <v>150</v>
      </c>
      <c r="E55" s="5" t="s">
        <v>121</v>
      </c>
      <c r="F55" s="5" t="s">
        <v>155</v>
      </c>
      <c r="G55" s="3" t="s">
        <v>15</v>
      </c>
      <c r="H55" s="3" t="s">
        <v>53</v>
      </c>
      <c r="I55" s="5"/>
    </row>
    <row r="56" customFormat="false" ht="23.85" hidden="false" customHeight="false" outlineLevel="0" collapsed="false">
      <c r="A56" s="2" t="s">
        <v>156</v>
      </c>
      <c r="B56" s="3" t="s">
        <v>148</v>
      </c>
      <c r="C56" s="3" t="s">
        <v>149</v>
      </c>
      <c r="D56" s="8" t="s">
        <v>150</v>
      </c>
      <c r="E56" s="5" t="s">
        <v>68</v>
      </c>
      <c r="F56" s="5" t="s">
        <v>157</v>
      </c>
      <c r="G56" s="3" t="s">
        <v>15</v>
      </c>
      <c r="H56" s="3" t="s">
        <v>53</v>
      </c>
      <c r="I56" s="5"/>
    </row>
    <row r="57" customFormat="false" ht="23.85" hidden="false" customHeight="false" outlineLevel="0" collapsed="false">
      <c r="A57" s="2" t="s">
        <v>158</v>
      </c>
      <c r="B57" s="3" t="s">
        <v>148</v>
      </c>
      <c r="C57" s="3" t="s">
        <v>149</v>
      </c>
      <c r="D57" s="8" t="s">
        <v>150</v>
      </c>
      <c r="E57" s="5" t="s">
        <v>68</v>
      </c>
      <c r="F57" s="5" t="s">
        <v>159</v>
      </c>
      <c r="G57" s="3" t="s">
        <v>15</v>
      </c>
      <c r="H57" s="3" t="s">
        <v>53</v>
      </c>
      <c r="I57" s="5"/>
    </row>
    <row r="58" customFormat="false" ht="23.85" hidden="false" customHeight="false" outlineLevel="0" collapsed="false">
      <c r="A58" s="2" t="s">
        <v>160</v>
      </c>
      <c r="B58" s="3" t="s">
        <v>148</v>
      </c>
      <c r="C58" s="3" t="s">
        <v>149</v>
      </c>
      <c r="D58" s="8" t="s">
        <v>150</v>
      </c>
      <c r="E58" s="5" t="s">
        <v>68</v>
      </c>
      <c r="F58" s="5" t="s">
        <v>161</v>
      </c>
      <c r="G58" s="3" t="s">
        <v>15</v>
      </c>
      <c r="H58" s="3" t="s">
        <v>53</v>
      </c>
      <c r="I58" s="5"/>
    </row>
    <row r="59" customFormat="false" ht="23.85" hidden="false" customHeight="false" outlineLevel="0" collapsed="false">
      <c r="A59" s="2" t="s">
        <v>162</v>
      </c>
      <c r="B59" s="3" t="s">
        <v>148</v>
      </c>
      <c r="C59" s="3" t="s">
        <v>149</v>
      </c>
      <c r="D59" s="8" t="s">
        <v>150</v>
      </c>
      <c r="E59" s="5" t="s">
        <v>71</v>
      </c>
      <c r="F59" s="5" t="s">
        <v>163</v>
      </c>
      <c r="G59" s="3" t="s">
        <v>15</v>
      </c>
      <c r="H59" s="3" t="s">
        <v>53</v>
      </c>
      <c r="I59" s="5"/>
    </row>
    <row r="60" customFormat="false" ht="23.85" hidden="false" customHeight="false" outlineLevel="0" collapsed="false">
      <c r="A60" s="2" t="s">
        <v>164</v>
      </c>
      <c r="B60" s="3" t="s">
        <v>148</v>
      </c>
      <c r="C60" s="3" t="s">
        <v>149</v>
      </c>
      <c r="D60" s="8" t="s">
        <v>150</v>
      </c>
      <c r="E60" s="5" t="s">
        <v>71</v>
      </c>
      <c r="F60" s="5" t="s">
        <v>165</v>
      </c>
      <c r="G60" s="3" t="s">
        <v>15</v>
      </c>
      <c r="H60" s="3" t="s">
        <v>53</v>
      </c>
      <c r="I60" s="5"/>
    </row>
    <row r="61" customFormat="false" ht="23.85" hidden="false" customHeight="false" outlineLevel="0" collapsed="false">
      <c r="A61" s="2" t="s">
        <v>166</v>
      </c>
      <c r="B61" s="3" t="s">
        <v>148</v>
      </c>
      <c r="C61" s="3" t="s">
        <v>149</v>
      </c>
      <c r="D61" s="8" t="s">
        <v>150</v>
      </c>
      <c r="E61" s="5" t="s">
        <v>71</v>
      </c>
      <c r="F61" s="5" t="s">
        <v>167</v>
      </c>
      <c r="G61" s="3" t="s">
        <v>15</v>
      </c>
      <c r="H61" s="3" t="s">
        <v>53</v>
      </c>
      <c r="I61" s="5"/>
    </row>
    <row r="62" customFormat="false" ht="15" hidden="false" customHeight="false" outlineLevel="0" collapsed="false">
      <c r="A62" s="2" t="s">
        <v>168</v>
      </c>
      <c r="B62" s="3" t="s">
        <v>84</v>
      </c>
      <c r="C62" s="3" t="s">
        <v>169</v>
      </c>
      <c r="D62" s="7" t="s">
        <v>61</v>
      </c>
      <c r="E62" s="5" t="s">
        <v>62</v>
      </c>
      <c r="F62" s="5" t="s">
        <v>170</v>
      </c>
      <c r="G62" s="6" t="s">
        <v>38</v>
      </c>
      <c r="H62" s="3" t="s">
        <v>53</v>
      </c>
      <c r="I62" s="5"/>
    </row>
    <row r="63" customFormat="false" ht="15" hidden="false" customHeight="false" outlineLevel="0" collapsed="false">
      <c r="A63" s="2" t="s">
        <v>171</v>
      </c>
      <c r="B63" s="3" t="s">
        <v>84</v>
      </c>
      <c r="C63" s="3" t="s">
        <v>169</v>
      </c>
      <c r="D63" s="7" t="s">
        <v>61</v>
      </c>
      <c r="E63" s="5" t="s">
        <v>65</v>
      </c>
      <c r="F63" s="5" t="s">
        <v>172</v>
      </c>
      <c r="G63" s="6" t="s">
        <v>38</v>
      </c>
      <c r="H63" s="3" t="s">
        <v>53</v>
      </c>
      <c r="I63" s="5"/>
    </row>
    <row r="64" customFormat="false" ht="15" hidden="false" customHeight="false" outlineLevel="0" collapsed="false">
      <c r="A64" s="2" t="s">
        <v>173</v>
      </c>
      <c r="B64" s="3" t="s">
        <v>84</v>
      </c>
      <c r="C64" s="3" t="s">
        <v>169</v>
      </c>
      <c r="D64" s="7" t="s">
        <v>61</v>
      </c>
      <c r="E64" s="5" t="s">
        <v>68</v>
      </c>
      <c r="F64" s="5" t="s">
        <v>174</v>
      </c>
      <c r="G64" s="6" t="s">
        <v>38</v>
      </c>
      <c r="H64" s="3" t="s">
        <v>53</v>
      </c>
      <c r="I64" s="5"/>
    </row>
    <row r="65" customFormat="false" ht="15" hidden="false" customHeight="false" outlineLevel="0" collapsed="false">
      <c r="A65" s="2" t="s">
        <v>175</v>
      </c>
      <c r="B65" s="3" t="s">
        <v>84</v>
      </c>
      <c r="C65" s="3" t="s">
        <v>169</v>
      </c>
      <c r="D65" s="7" t="s">
        <v>61</v>
      </c>
      <c r="E65" s="5" t="s">
        <v>71</v>
      </c>
      <c r="F65" s="5" t="s">
        <v>176</v>
      </c>
      <c r="G65" s="6" t="s">
        <v>38</v>
      </c>
      <c r="H65" s="3" t="s">
        <v>53</v>
      </c>
      <c r="I65" s="5"/>
    </row>
    <row r="66" customFormat="false" ht="15" hidden="false" customHeight="false" outlineLevel="0" collapsed="false">
      <c r="A66" s="2" t="s">
        <v>177</v>
      </c>
      <c r="B66" s="3" t="s">
        <v>74</v>
      </c>
      <c r="C66" s="3" t="s">
        <v>178</v>
      </c>
      <c r="D66" s="7" t="s">
        <v>61</v>
      </c>
      <c r="E66" s="5" t="s">
        <v>121</v>
      </c>
      <c r="F66" s="5" t="s">
        <v>179</v>
      </c>
      <c r="G66" s="6" t="s">
        <v>38</v>
      </c>
      <c r="H66" s="3" t="s">
        <v>53</v>
      </c>
      <c r="I66" s="5"/>
    </row>
    <row r="67" customFormat="false" ht="15" hidden="false" customHeight="false" outlineLevel="0" collapsed="false">
      <c r="A67" s="2" t="s">
        <v>180</v>
      </c>
      <c r="B67" s="3" t="s">
        <v>74</v>
      </c>
      <c r="C67" s="3" t="s">
        <v>178</v>
      </c>
      <c r="D67" s="7" t="s">
        <v>61</v>
      </c>
      <c r="E67" s="5" t="s">
        <v>68</v>
      </c>
      <c r="F67" s="5" t="s">
        <v>181</v>
      </c>
      <c r="G67" s="6" t="s">
        <v>38</v>
      </c>
      <c r="H67" s="3" t="s">
        <v>53</v>
      </c>
      <c r="I67" s="5"/>
    </row>
    <row r="68" customFormat="false" ht="15" hidden="false" customHeight="false" outlineLevel="0" collapsed="false">
      <c r="A68" s="2" t="s">
        <v>182</v>
      </c>
      <c r="B68" s="3" t="s">
        <v>74</v>
      </c>
      <c r="C68" s="3" t="s">
        <v>178</v>
      </c>
      <c r="D68" s="7" t="s">
        <v>61</v>
      </c>
      <c r="E68" s="5" t="s">
        <v>71</v>
      </c>
      <c r="F68" s="5" t="s">
        <v>183</v>
      </c>
      <c r="G68" s="6" t="s">
        <v>38</v>
      </c>
      <c r="H68" s="3" t="s">
        <v>53</v>
      </c>
      <c r="I68" s="5"/>
    </row>
    <row r="69" customFormat="false" ht="15" hidden="false" customHeight="false" outlineLevel="0" collapsed="false">
      <c r="A69" s="2" t="s">
        <v>184</v>
      </c>
      <c r="B69" s="3" t="s">
        <v>74</v>
      </c>
      <c r="C69" s="3" t="s">
        <v>185</v>
      </c>
      <c r="D69" s="7" t="s">
        <v>61</v>
      </c>
      <c r="E69" s="5" t="s">
        <v>121</v>
      </c>
      <c r="F69" s="5" t="s">
        <v>186</v>
      </c>
      <c r="G69" s="6" t="s">
        <v>38</v>
      </c>
      <c r="H69" s="3" t="s">
        <v>53</v>
      </c>
      <c r="I69" s="5"/>
    </row>
    <row r="70" customFormat="false" ht="15" hidden="false" customHeight="false" outlineLevel="0" collapsed="false">
      <c r="A70" s="2" t="s">
        <v>187</v>
      </c>
      <c r="B70" s="3" t="s">
        <v>74</v>
      </c>
      <c r="C70" s="3" t="s">
        <v>185</v>
      </c>
      <c r="D70" s="7" t="s">
        <v>61</v>
      </c>
      <c r="E70" s="5" t="s">
        <v>68</v>
      </c>
      <c r="F70" s="5" t="s">
        <v>188</v>
      </c>
      <c r="G70" s="6" t="s">
        <v>38</v>
      </c>
      <c r="H70" s="3" t="s">
        <v>53</v>
      </c>
      <c r="I70" s="5"/>
    </row>
    <row r="71" customFormat="false" ht="15" hidden="false" customHeight="false" outlineLevel="0" collapsed="false">
      <c r="A71" s="2" t="s">
        <v>189</v>
      </c>
      <c r="B71" s="3" t="s">
        <v>74</v>
      </c>
      <c r="C71" s="3" t="s">
        <v>185</v>
      </c>
      <c r="D71" s="7" t="s">
        <v>61</v>
      </c>
      <c r="E71" s="5" t="s">
        <v>71</v>
      </c>
      <c r="F71" s="5" t="s">
        <v>190</v>
      </c>
      <c r="G71" s="6" t="s">
        <v>38</v>
      </c>
      <c r="H71" s="3" t="s">
        <v>53</v>
      </c>
      <c r="I71" s="5"/>
    </row>
    <row r="72" customFormat="false" ht="15" hidden="false" customHeight="false" outlineLevel="0" collapsed="false">
      <c r="A72" s="2" t="s">
        <v>191</v>
      </c>
      <c r="B72" s="3" t="s">
        <v>28</v>
      </c>
      <c r="C72" s="3" t="s">
        <v>192</v>
      </c>
      <c r="D72" s="7" t="s">
        <v>61</v>
      </c>
      <c r="E72" s="5" t="s">
        <v>65</v>
      </c>
      <c r="F72" s="5" t="s">
        <v>193</v>
      </c>
      <c r="G72" s="6" t="s">
        <v>38</v>
      </c>
      <c r="H72" s="3" t="s">
        <v>53</v>
      </c>
      <c r="I72" s="5"/>
    </row>
    <row r="73" customFormat="false" ht="15" hidden="false" customHeight="false" outlineLevel="0" collapsed="false">
      <c r="A73" s="2" t="s">
        <v>194</v>
      </c>
      <c r="B73" s="3" t="s">
        <v>28</v>
      </c>
      <c r="C73" s="3" t="s">
        <v>192</v>
      </c>
      <c r="D73" s="7" t="s">
        <v>61</v>
      </c>
      <c r="E73" s="5" t="s">
        <v>68</v>
      </c>
      <c r="F73" s="5" t="s">
        <v>195</v>
      </c>
      <c r="G73" s="6" t="s">
        <v>38</v>
      </c>
      <c r="H73" s="3" t="s">
        <v>53</v>
      </c>
      <c r="I73" s="5"/>
    </row>
    <row r="74" customFormat="false" ht="15" hidden="false" customHeight="false" outlineLevel="0" collapsed="false">
      <c r="A74" s="2" t="s">
        <v>196</v>
      </c>
      <c r="B74" s="3" t="s">
        <v>28</v>
      </c>
      <c r="C74" s="3" t="s">
        <v>192</v>
      </c>
      <c r="D74" s="7" t="s">
        <v>61</v>
      </c>
      <c r="E74" s="5" t="s">
        <v>71</v>
      </c>
      <c r="F74" s="5" t="s">
        <v>197</v>
      </c>
      <c r="G74" s="6" t="s">
        <v>38</v>
      </c>
      <c r="H74" s="3" t="s">
        <v>53</v>
      </c>
      <c r="I74" s="5"/>
    </row>
    <row r="75" customFormat="false" ht="15" hidden="false" customHeight="false" outlineLevel="0" collapsed="false">
      <c r="A75" s="2" t="s">
        <v>198</v>
      </c>
      <c r="B75" s="3" t="s">
        <v>28</v>
      </c>
      <c r="C75" s="3" t="s">
        <v>199</v>
      </c>
      <c r="D75" s="7" t="s">
        <v>61</v>
      </c>
      <c r="E75" s="5" t="s">
        <v>121</v>
      </c>
      <c r="F75" s="5" t="s">
        <v>200</v>
      </c>
      <c r="G75" s="6" t="s">
        <v>38</v>
      </c>
      <c r="H75" s="3" t="s">
        <v>53</v>
      </c>
      <c r="I75" s="5"/>
    </row>
    <row r="76" customFormat="false" ht="15" hidden="false" customHeight="false" outlineLevel="0" collapsed="false">
      <c r="A76" s="2" t="s">
        <v>201</v>
      </c>
      <c r="B76" s="3" t="s">
        <v>28</v>
      </c>
      <c r="C76" s="3" t="s">
        <v>199</v>
      </c>
      <c r="D76" s="7" t="s">
        <v>61</v>
      </c>
      <c r="E76" s="5" t="s">
        <v>68</v>
      </c>
      <c r="F76" s="5" t="s">
        <v>202</v>
      </c>
      <c r="G76" s="6" t="s">
        <v>38</v>
      </c>
      <c r="H76" s="3" t="s">
        <v>53</v>
      </c>
      <c r="I76" s="5"/>
    </row>
    <row r="77" customFormat="false" ht="15" hidden="false" customHeight="false" outlineLevel="0" collapsed="false">
      <c r="A77" s="2" t="s">
        <v>203</v>
      </c>
      <c r="B77" s="3" t="s">
        <v>28</v>
      </c>
      <c r="C77" s="3" t="s">
        <v>199</v>
      </c>
      <c r="D77" s="7" t="s">
        <v>61</v>
      </c>
      <c r="E77" s="5" t="s">
        <v>71</v>
      </c>
      <c r="F77" s="5" t="s">
        <v>204</v>
      </c>
      <c r="G77" s="6" t="s">
        <v>38</v>
      </c>
      <c r="H77" s="3" t="s">
        <v>53</v>
      </c>
      <c r="I77" s="5"/>
    </row>
    <row r="78" customFormat="false" ht="15" hidden="false" customHeight="false" outlineLevel="0" collapsed="false">
      <c r="A78" s="2" t="s">
        <v>205</v>
      </c>
      <c r="B78" s="3" t="s">
        <v>28</v>
      </c>
      <c r="C78" s="3" t="s">
        <v>206</v>
      </c>
      <c r="D78" s="9" t="s">
        <v>207</v>
      </c>
      <c r="E78" s="5" t="s">
        <v>208</v>
      </c>
      <c r="F78" s="5" t="s">
        <v>209</v>
      </c>
      <c r="G78" s="3" t="s">
        <v>15</v>
      </c>
      <c r="H78" s="3" t="s">
        <v>53</v>
      </c>
      <c r="I78" s="5"/>
    </row>
    <row r="79" customFormat="false" ht="15" hidden="false" customHeight="false" outlineLevel="0" collapsed="false">
      <c r="A79" s="2" t="s">
        <v>210</v>
      </c>
      <c r="B79" s="3" t="s">
        <v>28</v>
      </c>
      <c r="C79" s="3" t="s">
        <v>206</v>
      </c>
      <c r="D79" s="9" t="s">
        <v>207</v>
      </c>
      <c r="E79" s="5" t="s">
        <v>211</v>
      </c>
      <c r="F79" s="5" t="s">
        <v>212</v>
      </c>
      <c r="G79" s="3" t="s">
        <v>15</v>
      </c>
      <c r="H79" s="3" t="s">
        <v>53</v>
      </c>
      <c r="I79" s="5"/>
    </row>
    <row r="80" customFormat="false" ht="15" hidden="false" customHeight="false" outlineLevel="0" collapsed="false">
      <c r="A80" s="2" t="s">
        <v>213</v>
      </c>
      <c r="B80" s="3" t="s">
        <v>28</v>
      </c>
      <c r="C80" s="3" t="s">
        <v>206</v>
      </c>
      <c r="D80" s="9" t="s">
        <v>207</v>
      </c>
      <c r="E80" s="5" t="s">
        <v>214</v>
      </c>
      <c r="F80" s="5" t="s">
        <v>215</v>
      </c>
      <c r="G80" s="3" t="s">
        <v>15</v>
      </c>
      <c r="H80" s="3" t="s">
        <v>53</v>
      </c>
      <c r="I80" s="5"/>
    </row>
    <row r="81" customFormat="false" ht="15" hidden="false" customHeight="false" outlineLevel="0" collapsed="false">
      <c r="A81" s="2" t="s">
        <v>216</v>
      </c>
      <c r="B81" s="3" t="s">
        <v>28</v>
      </c>
      <c r="C81" s="3" t="s">
        <v>206</v>
      </c>
      <c r="D81" s="9" t="s">
        <v>207</v>
      </c>
      <c r="E81" s="5" t="s">
        <v>217</v>
      </c>
      <c r="F81" s="5" t="s">
        <v>218</v>
      </c>
      <c r="G81" s="3" t="s">
        <v>15</v>
      </c>
      <c r="H81" s="3" t="s">
        <v>53</v>
      </c>
      <c r="I81" s="5"/>
    </row>
    <row r="82" customFormat="false" ht="15" hidden="false" customHeight="false" outlineLevel="0" collapsed="false">
      <c r="A82" s="2" t="s">
        <v>219</v>
      </c>
      <c r="B82" s="3" t="s">
        <v>28</v>
      </c>
      <c r="C82" s="3" t="s">
        <v>206</v>
      </c>
      <c r="D82" s="9" t="s">
        <v>207</v>
      </c>
      <c r="E82" s="5" t="s">
        <v>220</v>
      </c>
      <c r="F82" s="5" t="s">
        <v>221</v>
      </c>
      <c r="G82" s="3" t="s">
        <v>15</v>
      </c>
      <c r="H82" s="3" t="s">
        <v>53</v>
      </c>
      <c r="I82" s="5"/>
    </row>
    <row r="83" customFormat="false" ht="15" hidden="false" customHeight="false" outlineLevel="0" collapsed="false">
      <c r="A83" s="2" t="s">
        <v>222</v>
      </c>
      <c r="B83" s="3" t="s">
        <v>28</v>
      </c>
      <c r="C83" s="3" t="s">
        <v>223</v>
      </c>
      <c r="D83" s="9" t="s">
        <v>207</v>
      </c>
      <c r="E83" s="5" t="s">
        <v>208</v>
      </c>
      <c r="F83" s="5" t="s">
        <v>224</v>
      </c>
      <c r="G83" s="3" t="s">
        <v>15</v>
      </c>
      <c r="H83" s="3" t="s">
        <v>53</v>
      </c>
      <c r="I83" s="5"/>
    </row>
    <row r="84" customFormat="false" ht="15" hidden="false" customHeight="false" outlineLevel="0" collapsed="false">
      <c r="A84" s="2" t="s">
        <v>225</v>
      </c>
      <c r="B84" s="3" t="s">
        <v>28</v>
      </c>
      <c r="C84" s="3" t="s">
        <v>223</v>
      </c>
      <c r="D84" s="9" t="s">
        <v>207</v>
      </c>
      <c r="E84" s="5" t="s">
        <v>211</v>
      </c>
      <c r="F84" s="5" t="s">
        <v>226</v>
      </c>
      <c r="G84" s="3" t="s">
        <v>15</v>
      </c>
      <c r="H84" s="3" t="s">
        <v>53</v>
      </c>
      <c r="I84" s="5"/>
    </row>
    <row r="85" customFormat="false" ht="15" hidden="false" customHeight="false" outlineLevel="0" collapsed="false">
      <c r="A85" s="2" t="s">
        <v>227</v>
      </c>
      <c r="B85" s="3" t="s">
        <v>28</v>
      </c>
      <c r="C85" s="3" t="s">
        <v>223</v>
      </c>
      <c r="D85" s="9" t="s">
        <v>207</v>
      </c>
      <c r="E85" s="5" t="s">
        <v>214</v>
      </c>
      <c r="F85" s="5" t="s">
        <v>228</v>
      </c>
      <c r="G85" s="3" t="s">
        <v>15</v>
      </c>
      <c r="H85" s="3" t="s">
        <v>53</v>
      </c>
      <c r="I85" s="5"/>
    </row>
    <row r="86" customFormat="false" ht="15" hidden="false" customHeight="false" outlineLevel="0" collapsed="false">
      <c r="A86" s="2" t="s">
        <v>229</v>
      </c>
      <c r="B86" s="3" t="s">
        <v>28</v>
      </c>
      <c r="C86" s="3" t="s">
        <v>223</v>
      </c>
      <c r="D86" s="9" t="s">
        <v>207</v>
      </c>
      <c r="E86" s="5" t="s">
        <v>217</v>
      </c>
      <c r="F86" s="5" t="s">
        <v>230</v>
      </c>
      <c r="G86" s="3" t="s">
        <v>15</v>
      </c>
      <c r="H86" s="3" t="s">
        <v>53</v>
      </c>
      <c r="I86" s="5"/>
    </row>
    <row r="87" customFormat="false" ht="15" hidden="false" customHeight="false" outlineLevel="0" collapsed="false">
      <c r="A87" s="2" t="s">
        <v>231</v>
      </c>
      <c r="B87" s="3" t="s">
        <v>28</v>
      </c>
      <c r="C87" s="3" t="s">
        <v>223</v>
      </c>
      <c r="D87" s="9" t="s">
        <v>207</v>
      </c>
      <c r="E87" s="5" t="s">
        <v>220</v>
      </c>
      <c r="F87" s="5" t="s">
        <v>230</v>
      </c>
      <c r="G87" s="3" t="s">
        <v>15</v>
      </c>
      <c r="H87" s="3" t="s">
        <v>53</v>
      </c>
      <c r="I87" s="5"/>
    </row>
    <row r="88" customFormat="false" ht="15" hidden="false" customHeight="false" outlineLevel="0" collapsed="false">
      <c r="A88" s="2" t="s">
        <v>232</v>
      </c>
      <c r="B88" s="3" t="s">
        <v>233</v>
      </c>
      <c r="C88" s="3" t="s">
        <v>234</v>
      </c>
      <c r="D88" s="9" t="s">
        <v>207</v>
      </c>
      <c r="E88" s="5" t="s">
        <v>235</v>
      </c>
      <c r="F88" s="5" t="s">
        <v>236</v>
      </c>
      <c r="G88" s="3" t="s">
        <v>15</v>
      </c>
      <c r="H88" s="3" t="s">
        <v>53</v>
      </c>
      <c r="I88" s="5"/>
    </row>
    <row r="89" customFormat="false" ht="15" hidden="false" customHeight="false" outlineLevel="0" collapsed="false">
      <c r="A89" s="2" t="s">
        <v>237</v>
      </c>
      <c r="B89" s="3" t="s">
        <v>233</v>
      </c>
      <c r="C89" s="3" t="s">
        <v>234</v>
      </c>
      <c r="D89" s="9" t="s">
        <v>207</v>
      </c>
      <c r="E89" s="5" t="s">
        <v>238</v>
      </c>
      <c r="F89" s="5" t="s">
        <v>239</v>
      </c>
      <c r="G89" s="3" t="s">
        <v>15</v>
      </c>
      <c r="H89" s="3" t="s">
        <v>53</v>
      </c>
      <c r="I89" s="5"/>
    </row>
    <row r="90" customFormat="false" ht="15" hidden="false" customHeight="false" outlineLevel="0" collapsed="false">
      <c r="A90" s="2" t="s">
        <v>240</v>
      </c>
      <c r="B90" s="3" t="s">
        <v>119</v>
      </c>
      <c r="C90" s="3" t="s">
        <v>241</v>
      </c>
      <c r="D90" s="9" t="s">
        <v>207</v>
      </c>
      <c r="E90" s="5" t="s">
        <v>208</v>
      </c>
      <c r="F90" s="5" t="s">
        <v>242</v>
      </c>
      <c r="G90" s="3" t="s">
        <v>15</v>
      </c>
      <c r="H90" s="3" t="s">
        <v>53</v>
      </c>
      <c r="I90" s="5"/>
    </row>
    <row r="91" customFormat="false" ht="15" hidden="false" customHeight="false" outlineLevel="0" collapsed="false">
      <c r="A91" s="2" t="s">
        <v>243</v>
      </c>
      <c r="B91" s="3" t="s">
        <v>119</v>
      </c>
      <c r="C91" s="3" t="s">
        <v>241</v>
      </c>
      <c r="D91" s="9" t="s">
        <v>207</v>
      </c>
      <c r="E91" s="5" t="s">
        <v>211</v>
      </c>
      <c r="F91" s="5" t="s">
        <v>242</v>
      </c>
      <c r="G91" s="3" t="s">
        <v>15</v>
      </c>
      <c r="H91" s="3" t="s">
        <v>53</v>
      </c>
      <c r="I91" s="5"/>
    </row>
    <row r="92" customFormat="false" ht="15" hidden="false" customHeight="false" outlineLevel="0" collapsed="false">
      <c r="A92" s="2" t="s">
        <v>244</v>
      </c>
      <c r="B92" s="3" t="s">
        <v>119</v>
      </c>
      <c r="C92" s="3" t="s">
        <v>241</v>
      </c>
      <c r="D92" s="9" t="s">
        <v>207</v>
      </c>
      <c r="E92" s="5" t="s">
        <v>214</v>
      </c>
      <c r="F92" s="5" t="s">
        <v>242</v>
      </c>
      <c r="G92" s="3" t="s">
        <v>15</v>
      </c>
      <c r="H92" s="3" t="s">
        <v>53</v>
      </c>
      <c r="I92" s="5"/>
    </row>
    <row r="93" customFormat="false" ht="15" hidden="false" customHeight="false" outlineLevel="0" collapsed="false">
      <c r="A93" s="2" t="s">
        <v>245</v>
      </c>
      <c r="B93" s="3" t="s">
        <v>119</v>
      </c>
      <c r="C93" s="3" t="s">
        <v>241</v>
      </c>
      <c r="D93" s="9" t="s">
        <v>207</v>
      </c>
      <c r="E93" s="5" t="s">
        <v>217</v>
      </c>
      <c r="F93" s="5" t="s">
        <v>246</v>
      </c>
      <c r="G93" s="3" t="s">
        <v>15</v>
      </c>
      <c r="H93" s="3" t="s">
        <v>53</v>
      </c>
      <c r="I93" s="5"/>
    </row>
    <row r="94" customFormat="false" ht="15" hidden="false" customHeight="false" outlineLevel="0" collapsed="false">
      <c r="A94" s="2" t="s">
        <v>247</v>
      </c>
      <c r="B94" s="3" t="s">
        <v>119</v>
      </c>
      <c r="C94" s="3" t="s">
        <v>241</v>
      </c>
      <c r="D94" s="9" t="s">
        <v>207</v>
      </c>
      <c r="E94" s="5" t="s">
        <v>220</v>
      </c>
      <c r="F94" s="5" t="s">
        <v>246</v>
      </c>
      <c r="G94" s="3" t="s">
        <v>15</v>
      </c>
      <c r="H94" s="3" t="s">
        <v>53</v>
      </c>
      <c r="I94" s="5"/>
    </row>
    <row r="95" customFormat="false" ht="15" hidden="false" customHeight="false" outlineLevel="0" collapsed="false">
      <c r="A95" s="2" t="s">
        <v>248</v>
      </c>
      <c r="B95" s="3" t="s">
        <v>28</v>
      </c>
      <c r="C95" s="3" t="s">
        <v>249</v>
      </c>
      <c r="D95" s="9" t="s">
        <v>207</v>
      </c>
      <c r="E95" s="5" t="s">
        <v>235</v>
      </c>
      <c r="F95" s="5" t="s">
        <v>250</v>
      </c>
      <c r="G95" s="6" t="s">
        <v>38</v>
      </c>
      <c r="H95" s="3" t="s">
        <v>53</v>
      </c>
      <c r="I95" s="5"/>
    </row>
    <row r="96" customFormat="false" ht="15" hidden="false" customHeight="false" outlineLevel="0" collapsed="false">
      <c r="A96" s="2" t="s">
        <v>251</v>
      </c>
      <c r="B96" s="3" t="s">
        <v>28</v>
      </c>
      <c r="C96" s="3" t="s">
        <v>249</v>
      </c>
      <c r="D96" s="9" t="s">
        <v>207</v>
      </c>
      <c r="E96" s="5" t="s">
        <v>214</v>
      </c>
      <c r="F96" s="5" t="s">
        <v>252</v>
      </c>
      <c r="G96" s="6" t="s">
        <v>38</v>
      </c>
      <c r="H96" s="3" t="s">
        <v>53</v>
      </c>
      <c r="I96" s="5"/>
    </row>
    <row r="97" customFormat="false" ht="15" hidden="false" customHeight="false" outlineLevel="0" collapsed="false">
      <c r="A97" s="2" t="s">
        <v>253</v>
      </c>
      <c r="B97" s="3" t="s">
        <v>28</v>
      </c>
      <c r="C97" s="3" t="s">
        <v>249</v>
      </c>
      <c r="D97" s="9" t="s">
        <v>207</v>
      </c>
      <c r="E97" s="5" t="s">
        <v>254</v>
      </c>
      <c r="F97" s="5" t="s">
        <v>255</v>
      </c>
      <c r="G97" s="6" t="s">
        <v>38</v>
      </c>
      <c r="H97" s="3" t="s">
        <v>53</v>
      </c>
      <c r="I97" s="5"/>
    </row>
    <row r="98" customFormat="false" ht="15" hidden="false" customHeight="false" outlineLevel="0" collapsed="false">
      <c r="A98" s="2" t="s">
        <v>256</v>
      </c>
      <c r="B98" s="3" t="s">
        <v>28</v>
      </c>
      <c r="C98" s="3" t="s">
        <v>257</v>
      </c>
      <c r="D98" s="9" t="s">
        <v>207</v>
      </c>
      <c r="E98" s="5" t="s">
        <v>235</v>
      </c>
      <c r="F98" s="5" t="s">
        <v>258</v>
      </c>
      <c r="G98" s="6" t="s">
        <v>38</v>
      </c>
      <c r="H98" s="3" t="s">
        <v>53</v>
      </c>
      <c r="I98" s="5"/>
    </row>
    <row r="99" customFormat="false" ht="15" hidden="false" customHeight="false" outlineLevel="0" collapsed="false">
      <c r="A99" s="2" t="s">
        <v>259</v>
      </c>
      <c r="B99" s="3" t="s">
        <v>28</v>
      </c>
      <c r="C99" s="3" t="s">
        <v>257</v>
      </c>
      <c r="D99" s="9" t="s">
        <v>207</v>
      </c>
      <c r="E99" s="5" t="s">
        <v>214</v>
      </c>
      <c r="F99" s="5" t="s">
        <v>260</v>
      </c>
      <c r="G99" s="6" t="s">
        <v>38</v>
      </c>
      <c r="H99" s="3" t="s">
        <v>53</v>
      </c>
      <c r="I99" s="5"/>
    </row>
    <row r="100" customFormat="false" ht="15" hidden="false" customHeight="false" outlineLevel="0" collapsed="false">
      <c r="A100" s="2" t="s">
        <v>261</v>
      </c>
      <c r="B100" s="3" t="s">
        <v>28</v>
      </c>
      <c r="C100" s="3" t="s">
        <v>257</v>
      </c>
      <c r="D100" s="9" t="s">
        <v>207</v>
      </c>
      <c r="E100" s="5" t="s">
        <v>254</v>
      </c>
      <c r="F100" s="5" t="s">
        <v>262</v>
      </c>
      <c r="G100" s="6" t="s">
        <v>38</v>
      </c>
      <c r="H100" s="3" t="s">
        <v>53</v>
      </c>
      <c r="I100" s="5"/>
    </row>
    <row r="101" customFormat="false" ht="23.85" hidden="false" customHeight="false" outlineLevel="0" collapsed="false">
      <c r="A101" s="2" t="s">
        <v>263</v>
      </c>
      <c r="B101" s="3" t="s">
        <v>233</v>
      </c>
      <c r="C101" s="3" t="s">
        <v>264</v>
      </c>
      <c r="D101" s="10" t="s">
        <v>265</v>
      </c>
      <c r="E101" s="5" t="s">
        <v>121</v>
      </c>
      <c r="F101" s="5" t="s">
        <v>266</v>
      </c>
      <c r="G101" s="3" t="s">
        <v>15</v>
      </c>
      <c r="H101" s="3" t="s">
        <v>53</v>
      </c>
      <c r="I101" s="5" t="s">
        <v>267</v>
      </c>
    </row>
    <row r="102" customFormat="false" ht="23.85" hidden="false" customHeight="false" outlineLevel="0" collapsed="false">
      <c r="A102" s="2" t="s">
        <v>268</v>
      </c>
      <c r="B102" s="3" t="s">
        <v>233</v>
      </c>
      <c r="C102" s="3" t="s">
        <v>264</v>
      </c>
      <c r="D102" s="10" t="s">
        <v>265</v>
      </c>
      <c r="E102" s="5" t="s">
        <v>269</v>
      </c>
      <c r="F102" s="5" t="s">
        <v>270</v>
      </c>
      <c r="G102" s="3" t="s">
        <v>15</v>
      </c>
      <c r="H102" s="3" t="s">
        <v>53</v>
      </c>
      <c r="I102" s="5" t="s">
        <v>267</v>
      </c>
    </row>
    <row r="103" customFormat="false" ht="23.85" hidden="false" customHeight="false" outlineLevel="0" collapsed="false">
      <c r="A103" s="2" t="s">
        <v>271</v>
      </c>
      <c r="B103" s="3" t="s">
        <v>233</v>
      </c>
      <c r="C103" s="3" t="s">
        <v>264</v>
      </c>
      <c r="D103" s="10" t="s">
        <v>265</v>
      </c>
      <c r="E103" s="5" t="s">
        <v>130</v>
      </c>
      <c r="F103" s="5" t="s">
        <v>272</v>
      </c>
      <c r="G103" s="3" t="s">
        <v>15</v>
      </c>
      <c r="H103" s="3" t="s">
        <v>53</v>
      </c>
      <c r="I103" s="5" t="s">
        <v>267</v>
      </c>
    </row>
    <row r="104" customFormat="false" ht="23.85" hidden="false" customHeight="false" outlineLevel="0" collapsed="false">
      <c r="A104" s="2" t="s">
        <v>273</v>
      </c>
      <c r="B104" s="3" t="s">
        <v>233</v>
      </c>
      <c r="C104" s="3" t="s">
        <v>264</v>
      </c>
      <c r="D104" s="10" t="s">
        <v>265</v>
      </c>
      <c r="E104" s="5" t="s">
        <v>274</v>
      </c>
      <c r="F104" s="5" t="s">
        <v>275</v>
      </c>
      <c r="G104" s="3" t="s">
        <v>15</v>
      </c>
      <c r="H104" s="3" t="s">
        <v>53</v>
      </c>
      <c r="I104" s="5" t="s">
        <v>267</v>
      </c>
    </row>
    <row r="105" customFormat="false" ht="15" hidden="false" customHeight="false" outlineLevel="0" collapsed="false">
      <c r="A105" s="2" t="s">
        <v>276</v>
      </c>
      <c r="B105" s="3" t="s">
        <v>233</v>
      </c>
      <c r="C105" s="3" t="s">
        <v>264</v>
      </c>
      <c r="D105" s="10" t="s">
        <v>265</v>
      </c>
      <c r="E105" s="5" t="s">
        <v>269</v>
      </c>
      <c r="F105" s="5" t="s">
        <v>277</v>
      </c>
      <c r="G105" s="3" t="s">
        <v>15</v>
      </c>
      <c r="H105" s="3" t="s">
        <v>53</v>
      </c>
      <c r="I105" s="5" t="s">
        <v>267</v>
      </c>
    </row>
    <row r="106" customFormat="false" ht="23.85" hidden="false" customHeight="false" outlineLevel="0" collapsed="false">
      <c r="A106" s="2" t="s">
        <v>278</v>
      </c>
      <c r="B106" s="3" t="s">
        <v>233</v>
      </c>
      <c r="C106" s="3" t="s">
        <v>264</v>
      </c>
      <c r="D106" s="10" t="s">
        <v>265</v>
      </c>
      <c r="E106" s="5" t="s">
        <v>274</v>
      </c>
      <c r="F106" s="5" t="s">
        <v>279</v>
      </c>
      <c r="G106" s="3" t="s">
        <v>15</v>
      </c>
      <c r="H106" s="3" t="s">
        <v>53</v>
      </c>
      <c r="I106" s="5" t="s">
        <v>267</v>
      </c>
    </row>
    <row r="107" customFormat="false" ht="23.85" hidden="false" customHeight="false" outlineLevel="0" collapsed="false">
      <c r="A107" s="2" t="s">
        <v>280</v>
      </c>
      <c r="B107" s="3" t="s">
        <v>233</v>
      </c>
      <c r="C107" s="3" t="s">
        <v>264</v>
      </c>
      <c r="D107" s="10" t="s">
        <v>265</v>
      </c>
      <c r="E107" s="5" t="s">
        <v>274</v>
      </c>
      <c r="F107" s="5" t="s">
        <v>281</v>
      </c>
      <c r="G107" s="3" t="s">
        <v>15</v>
      </c>
      <c r="H107" s="3" t="s">
        <v>53</v>
      </c>
      <c r="I107" s="5" t="s">
        <v>267</v>
      </c>
    </row>
    <row r="108" customFormat="false" ht="23.85" hidden="false" customHeight="false" outlineLevel="0" collapsed="false">
      <c r="A108" s="2" t="s">
        <v>282</v>
      </c>
      <c r="B108" s="3" t="s">
        <v>233</v>
      </c>
      <c r="C108" s="3" t="s">
        <v>264</v>
      </c>
      <c r="D108" s="10" t="s">
        <v>265</v>
      </c>
      <c r="E108" s="5" t="s">
        <v>269</v>
      </c>
      <c r="F108" s="5" t="s">
        <v>283</v>
      </c>
      <c r="G108" s="3" t="s">
        <v>15</v>
      </c>
      <c r="H108" s="3" t="s">
        <v>53</v>
      </c>
      <c r="I108" s="5" t="s">
        <v>267</v>
      </c>
    </row>
    <row r="109" customFormat="false" ht="23.85" hidden="false" customHeight="false" outlineLevel="0" collapsed="false">
      <c r="A109" s="2" t="s">
        <v>284</v>
      </c>
      <c r="B109" s="3" t="s">
        <v>233</v>
      </c>
      <c r="C109" s="3" t="s">
        <v>264</v>
      </c>
      <c r="D109" s="10" t="s">
        <v>265</v>
      </c>
      <c r="E109" s="5" t="s">
        <v>130</v>
      </c>
      <c r="F109" s="5" t="s">
        <v>285</v>
      </c>
      <c r="G109" s="3" t="s">
        <v>15</v>
      </c>
      <c r="H109" s="3" t="s">
        <v>53</v>
      </c>
      <c r="I109" s="5" t="s">
        <v>267</v>
      </c>
    </row>
    <row r="110" customFormat="false" ht="23.85" hidden="false" customHeight="false" outlineLevel="0" collapsed="false">
      <c r="A110" s="2" t="s">
        <v>286</v>
      </c>
      <c r="B110" s="3" t="s">
        <v>233</v>
      </c>
      <c r="C110" s="3" t="s">
        <v>264</v>
      </c>
      <c r="D110" s="10" t="s">
        <v>265</v>
      </c>
      <c r="E110" s="5" t="s">
        <v>269</v>
      </c>
      <c r="F110" s="5" t="s">
        <v>287</v>
      </c>
      <c r="G110" s="3" t="s">
        <v>15</v>
      </c>
      <c r="H110" s="3" t="s">
        <v>53</v>
      </c>
      <c r="I110" s="5" t="s">
        <v>267</v>
      </c>
    </row>
    <row r="111" customFormat="false" ht="23.85" hidden="false" customHeight="false" outlineLevel="0" collapsed="false">
      <c r="A111" s="2" t="s">
        <v>288</v>
      </c>
      <c r="B111" s="3" t="s">
        <v>233</v>
      </c>
      <c r="C111" s="3" t="s">
        <v>264</v>
      </c>
      <c r="D111" s="10" t="s">
        <v>265</v>
      </c>
      <c r="E111" s="5" t="s">
        <v>130</v>
      </c>
      <c r="F111" s="5" t="s">
        <v>289</v>
      </c>
      <c r="G111" s="3" t="s">
        <v>15</v>
      </c>
      <c r="H111" s="3" t="s">
        <v>53</v>
      </c>
      <c r="I111" s="5" t="s">
        <v>267</v>
      </c>
    </row>
    <row r="112" customFormat="false" ht="23.85" hidden="false" customHeight="false" outlineLevel="0" collapsed="false">
      <c r="A112" s="2" t="s">
        <v>290</v>
      </c>
      <c r="B112" s="3" t="s">
        <v>233</v>
      </c>
      <c r="C112" s="3" t="s">
        <v>264</v>
      </c>
      <c r="D112" s="10" t="s">
        <v>265</v>
      </c>
      <c r="E112" s="5" t="s">
        <v>130</v>
      </c>
      <c r="F112" s="5" t="s">
        <v>291</v>
      </c>
      <c r="G112" s="3" t="s">
        <v>15</v>
      </c>
      <c r="H112" s="3" t="s">
        <v>53</v>
      </c>
      <c r="I112" s="5" t="s">
        <v>267</v>
      </c>
    </row>
    <row r="113" customFormat="false" ht="23.85" hidden="false" customHeight="false" outlineLevel="0" collapsed="false">
      <c r="A113" s="2" t="s">
        <v>292</v>
      </c>
      <c r="B113" s="3" t="s">
        <v>233</v>
      </c>
      <c r="C113" s="3" t="s">
        <v>264</v>
      </c>
      <c r="D113" s="10" t="s">
        <v>265</v>
      </c>
      <c r="E113" s="5" t="s">
        <v>269</v>
      </c>
      <c r="F113" s="5" t="s">
        <v>293</v>
      </c>
      <c r="G113" s="3" t="s">
        <v>15</v>
      </c>
      <c r="H113" s="3" t="s">
        <v>53</v>
      </c>
      <c r="I113" s="5" t="s">
        <v>267</v>
      </c>
    </row>
    <row r="114" customFormat="false" ht="15" hidden="false" customHeight="false" outlineLevel="0" collapsed="false">
      <c r="A114" s="2" t="s">
        <v>294</v>
      </c>
      <c r="B114" s="3" t="s">
        <v>233</v>
      </c>
      <c r="C114" s="3" t="s">
        <v>264</v>
      </c>
      <c r="D114" s="10" t="s">
        <v>265</v>
      </c>
      <c r="E114" s="5" t="s">
        <v>269</v>
      </c>
      <c r="F114" s="5" t="s">
        <v>295</v>
      </c>
      <c r="G114" s="3" t="s">
        <v>15</v>
      </c>
      <c r="H114" s="3" t="s">
        <v>53</v>
      </c>
      <c r="I114" s="5" t="s">
        <v>267</v>
      </c>
    </row>
    <row r="115" customFormat="false" ht="15" hidden="false" customHeight="false" outlineLevel="0" collapsed="false">
      <c r="A115" s="2" t="s">
        <v>296</v>
      </c>
      <c r="B115" s="3" t="s">
        <v>233</v>
      </c>
      <c r="C115" s="3" t="s">
        <v>264</v>
      </c>
      <c r="D115" s="10" t="s">
        <v>265</v>
      </c>
      <c r="E115" s="5" t="s">
        <v>130</v>
      </c>
      <c r="F115" s="5" t="s">
        <v>297</v>
      </c>
      <c r="G115" s="3" t="s">
        <v>15</v>
      </c>
      <c r="H115" s="3" t="s">
        <v>53</v>
      </c>
      <c r="I115" s="5" t="s">
        <v>267</v>
      </c>
    </row>
    <row r="116" customFormat="false" ht="23.85" hidden="false" customHeight="false" outlineLevel="0" collapsed="false">
      <c r="A116" s="2" t="s">
        <v>298</v>
      </c>
      <c r="B116" s="3" t="s">
        <v>299</v>
      </c>
      <c r="C116" s="3" t="s">
        <v>300</v>
      </c>
      <c r="D116" s="10" t="s">
        <v>265</v>
      </c>
      <c r="E116" s="5" t="s">
        <v>13</v>
      </c>
      <c r="F116" s="5" t="s">
        <v>301</v>
      </c>
      <c r="G116" s="3" t="s">
        <v>15</v>
      </c>
      <c r="H116" s="3" t="s">
        <v>53</v>
      </c>
      <c r="I116" s="5" t="s">
        <v>302</v>
      </c>
    </row>
    <row r="117" customFormat="false" ht="15" hidden="false" customHeight="false" outlineLevel="0" collapsed="false">
      <c r="A117" s="2" t="s">
        <v>303</v>
      </c>
      <c r="B117" s="3" t="s">
        <v>299</v>
      </c>
      <c r="C117" s="3" t="s">
        <v>304</v>
      </c>
      <c r="D117" s="10" t="s">
        <v>265</v>
      </c>
      <c r="E117" s="5" t="s">
        <v>13</v>
      </c>
      <c r="F117" s="5" t="s">
        <v>305</v>
      </c>
      <c r="G117" s="3" t="s">
        <v>15</v>
      </c>
      <c r="H117" s="3" t="s">
        <v>53</v>
      </c>
      <c r="I117" s="5" t="s">
        <v>302</v>
      </c>
    </row>
    <row r="118" customFormat="false" ht="23.85" hidden="false" customHeight="false" outlineLevel="0" collapsed="false">
      <c r="A118" s="2" t="s">
        <v>306</v>
      </c>
      <c r="B118" s="3" t="s">
        <v>299</v>
      </c>
      <c r="C118" s="3" t="s">
        <v>307</v>
      </c>
      <c r="D118" s="8" t="s">
        <v>308</v>
      </c>
      <c r="E118" s="5" t="s">
        <v>13</v>
      </c>
      <c r="F118" s="5" t="s">
        <v>309</v>
      </c>
      <c r="G118" s="3" t="s">
        <v>15</v>
      </c>
      <c r="H118" s="3" t="s">
        <v>16</v>
      </c>
      <c r="I118" s="5" t="s">
        <v>310</v>
      </c>
    </row>
    <row r="119" customFormat="false" ht="15" hidden="false" customHeight="false" outlineLevel="0" collapsed="false">
      <c r="A119" s="2" t="s">
        <v>311</v>
      </c>
      <c r="B119" s="3" t="s">
        <v>312</v>
      </c>
      <c r="C119" s="3" t="s">
        <v>313</v>
      </c>
      <c r="D119" s="11" t="s">
        <v>314</v>
      </c>
      <c r="E119" s="5" t="s">
        <v>13</v>
      </c>
      <c r="F119" s="5" t="s">
        <v>315</v>
      </c>
      <c r="G119" s="3" t="s">
        <v>15</v>
      </c>
      <c r="H119" s="3" t="s">
        <v>16</v>
      </c>
      <c r="I119" s="5"/>
    </row>
    <row r="120" customFormat="false" ht="23.85" hidden="false" customHeight="false" outlineLevel="0" collapsed="false">
      <c r="A120" s="2" t="s">
        <v>316</v>
      </c>
      <c r="B120" s="3" t="s">
        <v>47</v>
      </c>
      <c r="C120" s="3" t="s">
        <v>313</v>
      </c>
      <c r="D120" s="11" t="s">
        <v>314</v>
      </c>
      <c r="E120" s="5" t="s">
        <v>13</v>
      </c>
      <c r="F120" s="5" t="s">
        <v>317</v>
      </c>
      <c r="G120" s="3" t="s">
        <v>15</v>
      </c>
      <c r="H120" s="3" t="s">
        <v>16</v>
      </c>
      <c r="I120" s="5"/>
    </row>
    <row r="121" customFormat="false" ht="23.85" hidden="false" customHeight="false" outlineLevel="0" collapsed="false">
      <c r="A121" s="2" t="s">
        <v>318</v>
      </c>
      <c r="B121" s="3" t="s">
        <v>55</v>
      </c>
      <c r="C121" s="3" t="s">
        <v>313</v>
      </c>
      <c r="D121" s="11" t="s">
        <v>314</v>
      </c>
      <c r="E121" s="5" t="s">
        <v>13</v>
      </c>
      <c r="F121" s="5" t="s">
        <v>319</v>
      </c>
      <c r="G121" s="3" t="s">
        <v>15</v>
      </c>
      <c r="H121" s="3" t="s">
        <v>16</v>
      </c>
      <c r="I121" s="5"/>
    </row>
    <row r="122" customFormat="false" ht="23.85" hidden="false" customHeight="false" outlineLevel="0" collapsed="false">
      <c r="A122" s="2" t="s">
        <v>320</v>
      </c>
      <c r="B122" s="3" t="s">
        <v>47</v>
      </c>
      <c r="C122" s="3" t="s">
        <v>321</v>
      </c>
      <c r="D122" s="11" t="s">
        <v>314</v>
      </c>
      <c r="E122" s="5" t="s">
        <v>13</v>
      </c>
      <c r="F122" s="5" t="s">
        <v>322</v>
      </c>
      <c r="G122" s="6" t="s">
        <v>38</v>
      </c>
      <c r="H122" s="3" t="s">
        <v>53</v>
      </c>
      <c r="I122" s="5"/>
    </row>
    <row r="123" customFormat="false" ht="23.85" hidden="false" customHeight="false" outlineLevel="0" collapsed="false">
      <c r="A123" s="2" t="s">
        <v>323</v>
      </c>
      <c r="B123" s="3" t="s">
        <v>47</v>
      </c>
      <c r="C123" s="3" t="s">
        <v>321</v>
      </c>
      <c r="D123" s="11" t="s">
        <v>314</v>
      </c>
      <c r="E123" s="5" t="s">
        <v>13</v>
      </c>
      <c r="F123" s="5" t="s">
        <v>324</v>
      </c>
      <c r="G123" s="3" t="s">
        <v>15</v>
      </c>
      <c r="H123" s="3" t="s">
        <v>53</v>
      </c>
      <c r="I123" s="5"/>
    </row>
  </sheetData>
  <autoFilter ref="A1:I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 t="s">
        <v>325</v>
      </c>
      <c r="C1" s="1" t="s">
        <v>2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customFormat="false" ht="23.85" hidden="false" customHeight="false" outlineLevel="0" collapsed="false">
      <c r="A2" s="2" t="s">
        <v>263</v>
      </c>
      <c r="B2" s="3" t="s">
        <v>331</v>
      </c>
      <c r="C2" s="3" t="s">
        <v>332</v>
      </c>
      <c r="D2" s="3" t="s">
        <v>333</v>
      </c>
      <c r="E2" s="3" t="s">
        <v>334</v>
      </c>
      <c r="F2" s="5" t="s">
        <v>335</v>
      </c>
      <c r="G2" s="5" t="s">
        <v>336</v>
      </c>
      <c r="H2" s="5" t="s">
        <v>337</v>
      </c>
    </row>
    <row r="3" customFormat="false" ht="15" hidden="false" customHeight="false" outlineLevel="0" collapsed="false">
      <c r="A3" s="2" t="s">
        <v>268</v>
      </c>
      <c r="B3" s="3" t="s">
        <v>338</v>
      </c>
      <c r="C3" s="3" t="s">
        <v>332</v>
      </c>
      <c r="D3" s="3" t="s">
        <v>339</v>
      </c>
      <c r="E3" s="3" t="s">
        <v>340</v>
      </c>
      <c r="F3" s="5" t="s">
        <v>341</v>
      </c>
      <c r="G3" s="5" t="s">
        <v>342</v>
      </c>
      <c r="H3" s="5" t="s">
        <v>343</v>
      </c>
    </row>
    <row r="4" customFormat="false" ht="23.85" hidden="false" customHeight="false" outlineLevel="0" collapsed="false">
      <c r="A4" s="2" t="s">
        <v>271</v>
      </c>
      <c r="B4" s="3" t="s">
        <v>344</v>
      </c>
      <c r="C4" s="3" t="s">
        <v>332</v>
      </c>
      <c r="D4" s="3" t="s">
        <v>339</v>
      </c>
      <c r="E4" s="3" t="s">
        <v>345</v>
      </c>
      <c r="F4" s="5" t="s">
        <v>346</v>
      </c>
      <c r="G4" s="5" t="s">
        <v>347</v>
      </c>
      <c r="H4" s="5" t="s">
        <v>348</v>
      </c>
    </row>
    <row r="5" customFormat="false" ht="15" hidden="false" customHeight="false" outlineLevel="0" collapsed="false">
      <c r="A5" s="2" t="s">
        <v>273</v>
      </c>
      <c r="B5" s="3" t="s">
        <v>349</v>
      </c>
      <c r="C5" s="3" t="s">
        <v>350</v>
      </c>
      <c r="D5" s="3" t="s">
        <v>351</v>
      </c>
      <c r="E5" s="3" t="s">
        <v>352</v>
      </c>
      <c r="F5" s="5" t="s">
        <v>353</v>
      </c>
      <c r="G5" s="5" t="s">
        <v>354</v>
      </c>
      <c r="H5" s="5" t="s">
        <v>355</v>
      </c>
    </row>
    <row r="6" customFormat="false" ht="15" hidden="false" customHeight="false" outlineLevel="0" collapsed="false">
      <c r="A6" s="2" t="s">
        <v>276</v>
      </c>
      <c r="B6" s="3" t="s">
        <v>356</v>
      </c>
      <c r="C6" s="3" t="s">
        <v>350</v>
      </c>
      <c r="D6" s="3" t="s">
        <v>357</v>
      </c>
      <c r="E6" s="3" t="s">
        <v>358</v>
      </c>
      <c r="F6" s="5" t="s">
        <v>359</v>
      </c>
      <c r="G6" s="5" t="s">
        <v>360</v>
      </c>
      <c r="H6" s="5" t="s">
        <v>343</v>
      </c>
    </row>
    <row r="7" customFormat="false" ht="15" hidden="false" customHeight="false" outlineLevel="0" collapsed="false">
      <c r="A7" s="2" t="s">
        <v>278</v>
      </c>
      <c r="B7" s="3" t="s">
        <v>361</v>
      </c>
      <c r="C7" s="3" t="s">
        <v>350</v>
      </c>
      <c r="D7" s="3" t="s">
        <v>362</v>
      </c>
      <c r="E7" s="3" t="s">
        <v>363</v>
      </c>
      <c r="F7" s="5" t="s">
        <v>364</v>
      </c>
      <c r="G7" s="5" t="s">
        <v>365</v>
      </c>
      <c r="H7" s="5" t="s">
        <v>355</v>
      </c>
    </row>
    <row r="8" customFormat="false" ht="15" hidden="false" customHeight="false" outlineLevel="0" collapsed="false">
      <c r="A8" s="2" t="s">
        <v>280</v>
      </c>
      <c r="B8" s="3" t="s">
        <v>366</v>
      </c>
      <c r="C8" s="3" t="s">
        <v>367</v>
      </c>
      <c r="D8" s="3" t="s">
        <v>368</v>
      </c>
      <c r="E8" s="3" t="s">
        <v>369</v>
      </c>
      <c r="F8" s="5" t="s">
        <v>370</v>
      </c>
      <c r="G8" s="5" t="s">
        <v>371</v>
      </c>
      <c r="H8" s="5" t="s">
        <v>355</v>
      </c>
    </row>
    <row r="9" customFormat="false" ht="23.85" hidden="false" customHeight="false" outlineLevel="0" collapsed="false">
      <c r="A9" s="2" t="s">
        <v>282</v>
      </c>
      <c r="B9" s="3" t="s">
        <v>372</v>
      </c>
      <c r="C9" s="3" t="s">
        <v>367</v>
      </c>
      <c r="D9" s="3" t="s">
        <v>373</v>
      </c>
      <c r="E9" s="3" t="s">
        <v>374</v>
      </c>
      <c r="F9" s="5" t="s">
        <v>375</v>
      </c>
      <c r="G9" s="5" t="s">
        <v>376</v>
      </c>
      <c r="H9" s="5" t="s">
        <v>343</v>
      </c>
    </row>
    <row r="10" customFormat="false" ht="15" hidden="false" customHeight="false" outlineLevel="0" collapsed="false">
      <c r="A10" s="2" t="s">
        <v>284</v>
      </c>
      <c r="B10" s="3" t="s">
        <v>377</v>
      </c>
      <c r="C10" s="3" t="s">
        <v>367</v>
      </c>
      <c r="D10" s="3" t="s">
        <v>373</v>
      </c>
      <c r="E10" s="3" t="s">
        <v>378</v>
      </c>
      <c r="F10" s="5" t="s">
        <v>379</v>
      </c>
      <c r="G10" s="5" t="s">
        <v>380</v>
      </c>
      <c r="H10" s="5" t="s">
        <v>348</v>
      </c>
    </row>
    <row r="11" customFormat="false" ht="15" hidden="false" customHeight="false" outlineLevel="0" collapsed="false">
      <c r="A11" s="2" t="s">
        <v>286</v>
      </c>
      <c r="B11" s="3" t="s">
        <v>381</v>
      </c>
      <c r="C11" s="3" t="s">
        <v>382</v>
      </c>
      <c r="D11" s="3" t="s">
        <v>383</v>
      </c>
      <c r="E11" s="3" t="s">
        <v>384</v>
      </c>
      <c r="F11" s="5" t="s">
        <v>385</v>
      </c>
      <c r="G11" s="5" t="s">
        <v>386</v>
      </c>
      <c r="H11" s="5" t="s">
        <v>343</v>
      </c>
    </row>
    <row r="12" customFormat="false" ht="15" hidden="false" customHeight="false" outlineLevel="0" collapsed="false">
      <c r="A12" s="2" t="s">
        <v>288</v>
      </c>
      <c r="B12" s="3" t="s">
        <v>387</v>
      </c>
      <c r="C12" s="3" t="s">
        <v>382</v>
      </c>
      <c r="D12" s="3" t="s">
        <v>388</v>
      </c>
      <c r="E12" s="3" t="s">
        <v>389</v>
      </c>
      <c r="F12" s="5" t="s">
        <v>390</v>
      </c>
      <c r="G12" s="5" t="s">
        <v>391</v>
      </c>
      <c r="H12" s="5" t="s">
        <v>348</v>
      </c>
    </row>
    <row r="13" customFormat="false" ht="15" hidden="false" customHeight="false" outlineLevel="0" collapsed="false">
      <c r="A13" s="2" t="s">
        <v>290</v>
      </c>
      <c r="B13" s="3" t="s">
        <v>392</v>
      </c>
      <c r="C13" s="3" t="s">
        <v>382</v>
      </c>
      <c r="D13" s="3" t="s">
        <v>388</v>
      </c>
      <c r="E13" s="3" t="s">
        <v>393</v>
      </c>
      <c r="F13" s="5" t="s">
        <v>394</v>
      </c>
      <c r="G13" s="5" t="s">
        <v>395</v>
      </c>
      <c r="H13" s="5" t="s">
        <v>348</v>
      </c>
    </row>
    <row r="14" customFormat="false" ht="15" hidden="false" customHeight="false" outlineLevel="0" collapsed="false">
      <c r="A14" s="2" t="s">
        <v>292</v>
      </c>
      <c r="B14" s="3" t="s">
        <v>396</v>
      </c>
      <c r="C14" s="3" t="s">
        <v>397</v>
      </c>
      <c r="D14" s="3" t="s">
        <v>398</v>
      </c>
      <c r="E14" s="3" t="s">
        <v>399</v>
      </c>
      <c r="F14" s="5" t="s">
        <v>400</v>
      </c>
      <c r="G14" s="5" t="s">
        <v>401</v>
      </c>
      <c r="H14" s="5" t="s">
        <v>343</v>
      </c>
    </row>
    <row r="15" customFormat="false" ht="15" hidden="false" customHeight="false" outlineLevel="0" collapsed="false">
      <c r="A15" s="2" t="s">
        <v>294</v>
      </c>
      <c r="B15" s="3" t="s">
        <v>402</v>
      </c>
      <c r="C15" s="3" t="s">
        <v>397</v>
      </c>
      <c r="D15" s="3" t="s">
        <v>403</v>
      </c>
      <c r="E15" s="3" t="s">
        <v>404</v>
      </c>
      <c r="F15" s="5" t="s">
        <v>405</v>
      </c>
      <c r="G15" s="5" t="s">
        <v>406</v>
      </c>
      <c r="H15" s="5" t="s">
        <v>343</v>
      </c>
    </row>
    <row r="16" customFormat="false" ht="15" hidden="false" customHeight="false" outlineLevel="0" collapsed="false">
      <c r="A16" s="2" t="s">
        <v>296</v>
      </c>
      <c r="B16" s="3" t="s">
        <v>407</v>
      </c>
      <c r="C16" s="3" t="s">
        <v>408</v>
      </c>
      <c r="D16" s="3" t="s">
        <v>409</v>
      </c>
      <c r="E16" s="3" t="s">
        <v>410</v>
      </c>
      <c r="F16" s="5" t="s">
        <v>411</v>
      </c>
      <c r="G16" s="5" t="s">
        <v>412</v>
      </c>
      <c r="H16" s="5" t="s">
        <v>348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5" min="4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2" t="s">
        <v>413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414</v>
      </c>
      <c r="B3" s="14" t="s">
        <v>415</v>
      </c>
    </row>
    <row r="4" customFormat="false" ht="15" hidden="false" customHeight="false" outlineLevel="0" collapsed="false">
      <c r="A4" s="13" t="s">
        <v>416</v>
      </c>
      <c r="B4" s="14" t="s">
        <v>417</v>
      </c>
    </row>
    <row r="5" customFormat="false" ht="15" hidden="false" customHeight="false" outlineLevel="0" collapsed="false">
      <c r="A5" s="13" t="s">
        <v>325</v>
      </c>
      <c r="B5" s="14" t="s">
        <v>263</v>
      </c>
    </row>
    <row r="7" customFormat="false" ht="21.75" hidden="false" customHeight="true" outlineLevel="0" collapsed="false">
      <c r="A7" s="1" t="s">
        <v>418</v>
      </c>
      <c r="B7" s="1" t="s">
        <v>3</v>
      </c>
      <c r="C7" s="1" t="s">
        <v>419</v>
      </c>
      <c r="D7" s="1" t="s">
        <v>420</v>
      </c>
      <c r="E7" s="1" t="s">
        <v>421</v>
      </c>
      <c r="F7" s="1" t="s">
        <v>422</v>
      </c>
    </row>
    <row r="8" customFormat="false" ht="15" hidden="false" customHeight="false" outlineLevel="0" collapsed="false">
      <c r="A8" s="3" t="s">
        <v>10</v>
      </c>
      <c r="B8" s="15" t="s">
        <v>12</v>
      </c>
      <c r="C8" s="5" t="s">
        <v>423</v>
      </c>
      <c r="D8" s="5" t="s">
        <v>424</v>
      </c>
      <c r="E8" s="5" t="s">
        <v>424</v>
      </c>
      <c r="F8" s="16"/>
    </row>
    <row r="9" customFormat="false" ht="15" hidden="false" customHeight="false" outlineLevel="0" collapsed="false">
      <c r="A9" s="3" t="s">
        <v>59</v>
      </c>
      <c r="B9" s="17" t="s">
        <v>61</v>
      </c>
      <c r="C9" s="5" t="s">
        <v>425</v>
      </c>
      <c r="D9" s="5" t="s">
        <v>58</v>
      </c>
      <c r="E9" s="5" t="s">
        <v>70</v>
      </c>
      <c r="F9" s="16"/>
    </row>
    <row r="10" customFormat="false" ht="23.85" hidden="false" customHeight="false" outlineLevel="0" collapsed="false">
      <c r="A10" s="3" t="s">
        <v>74</v>
      </c>
      <c r="B10" s="17" t="s">
        <v>61</v>
      </c>
      <c r="C10" s="5" t="s">
        <v>426</v>
      </c>
      <c r="D10" s="5" t="s">
        <v>427</v>
      </c>
      <c r="E10" s="5" t="s">
        <v>428</v>
      </c>
      <c r="F10" s="16"/>
    </row>
    <row r="11" customFormat="false" ht="15" hidden="false" customHeight="false" outlineLevel="0" collapsed="false">
      <c r="A11" s="3" t="s">
        <v>84</v>
      </c>
      <c r="B11" s="17" t="s">
        <v>429</v>
      </c>
      <c r="C11" s="5" t="s">
        <v>430</v>
      </c>
      <c r="D11" s="5" t="s">
        <v>431</v>
      </c>
      <c r="E11" s="5" t="s">
        <v>432</v>
      </c>
      <c r="F11" s="16"/>
    </row>
    <row r="12" customFormat="false" ht="15" hidden="false" customHeight="false" outlineLevel="0" collapsed="false">
      <c r="A12" s="3" t="s">
        <v>312</v>
      </c>
      <c r="B12" s="18" t="s">
        <v>314</v>
      </c>
      <c r="C12" s="5" t="s">
        <v>433</v>
      </c>
      <c r="D12" s="5" t="s">
        <v>311</v>
      </c>
      <c r="E12" s="5" t="s">
        <v>311</v>
      </c>
      <c r="F12" s="16"/>
    </row>
    <row r="13" customFormat="false" ht="15" hidden="false" customHeight="false" outlineLevel="0" collapsed="false">
      <c r="A13" s="3" t="s">
        <v>47</v>
      </c>
      <c r="B13" s="18" t="s">
        <v>314</v>
      </c>
      <c r="C13" s="5" t="s">
        <v>434</v>
      </c>
      <c r="D13" s="5" t="s">
        <v>435</v>
      </c>
      <c r="E13" s="5" t="s">
        <v>435</v>
      </c>
      <c r="F13" s="16"/>
    </row>
    <row r="14" customFormat="false" ht="35.05" hidden="false" customHeight="false" outlineLevel="0" collapsed="false">
      <c r="A14" s="3" t="s">
        <v>28</v>
      </c>
      <c r="B14" s="17" t="s">
        <v>436</v>
      </c>
      <c r="C14" s="5" t="s">
        <v>437</v>
      </c>
      <c r="D14" s="5" t="s">
        <v>438</v>
      </c>
      <c r="E14" s="5" t="s">
        <v>439</v>
      </c>
      <c r="F14" s="16"/>
    </row>
    <row r="15" customFormat="false" ht="15" hidden="false" customHeight="false" outlineLevel="0" collapsed="false">
      <c r="A15" s="3" t="s">
        <v>233</v>
      </c>
      <c r="B15" s="19" t="s">
        <v>440</v>
      </c>
      <c r="C15" s="5" t="s">
        <v>441</v>
      </c>
      <c r="D15" s="5" t="s">
        <v>442</v>
      </c>
      <c r="E15" s="5" t="s">
        <v>443</v>
      </c>
      <c r="F15" s="16"/>
    </row>
    <row r="16" customFormat="false" ht="23.85" hidden="false" customHeight="false" outlineLevel="0" collapsed="false">
      <c r="A16" s="3" t="s">
        <v>119</v>
      </c>
      <c r="B16" s="17" t="s">
        <v>436</v>
      </c>
      <c r="C16" s="5" t="s">
        <v>444</v>
      </c>
      <c r="D16" s="5" t="s">
        <v>445</v>
      </c>
      <c r="E16" s="5" t="s">
        <v>446</v>
      </c>
      <c r="F16" s="16"/>
    </row>
    <row r="17" customFormat="false" ht="15" hidden="false" customHeight="false" outlineLevel="0" collapsed="false">
      <c r="A17" s="3" t="s">
        <v>148</v>
      </c>
      <c r="B17" s="20" t="s">
        <v>447</v>
      </c>
      <c r="C17" s="5" t="s">
        <v>448</v>
      </c>
      <c r="D17" s="5" t="s">
        <v>449</v>
      </c>
      <c r="E17" s="5" t="s">
        <v>450</v>
      </c>
      <c r="F17" s="16"/>
    </row>
    <row r="18" customFormat="false" ht="15" hidden="false" customHeight="false" outlineLevel="0" collapsed="false">
      <c r="A18" s="3" t="s">
        <v>55</v>
      </c>
      <c r="B18" s="18" t="s">
        <v>314</v>
      </c>
      <c r="C18" s="5" t="s">
        <v>451</v>
      </c>
      <c r="D18" s="5" t="s">
        <v>451</v>
      </c>
      <c r="E18" s="5" t="s">
        <v>451</v>
      </c>
      <c r="F18" s="16"/>
    </row>
  </sheetData>
  <mergeCells count="1">
    <mergeCell ref="A1:F1"/>
  </mergeCells>
  <dataValidations count="7">
    <dataValidation allowBlank="true" errorStyle="stop" operator="between" showDropDown="false" showErrorMessage="false" showInputMessage="false" sqref="B3" type="list">
      <formula1>"early_child,child,teen,adult"</formula1>
      <formula2>0</formula2>
    </dataValidation>
    <dataValidation allowBlank="true" errorStyle="stop" operator="between" showDropDown="false" showErrorMessage="false" showInputMessage="false" sqref="B4" type="list">
      <formula1>"A1,A2,B1,B2,C1"</formula1>
      <formula2>0</formula2>
    </dataValidation>
    <dataValidation allowBlank="true" errorStyle="stop" operator="between" showDropDown="false" showErrorMessage="false" showInputMessage="false" sqref="B5" type="list">
      <formula1>"TOP-01,TOP-02,TOP-03,TOP-04,TOP-05,TOP-06,TOP-07,TOP-08,TOP-09,TOP-10,TOP-11,TOP-12,TOP-13,TOP-14,TOP-15"</formula1>
      <formula2>0</formula2>
    </dataValidation>
    <dataValidation allowBlank="true" errorStyle="stop" operator="between" showDropDown="false" showErrorMessage="false" showInputMessage="false" sqref="F9" type="list">
      <formula1>"TUT-EC-01,TUT-CH-01,TUT-TN-01,TUT-AD-01"</formula1>
      <formula2>0</formula2>
    </dataValidation>
    <dataValidation allowBlank="true" errorStyle="stop" operator="between" showDropDown="false" showErrorMessage="false" showInputMessage="false" sqref="F10" type="list">
      <formula1>"PED-EC-01,PED-CH-01,PED-TN-01,PED-AD-01"</formula1>
      <formula2>0</formula2>
    </dataValidation>
    <dataValidation allowBlank="true" errorStyle="stop" operator="between" showDropDown="false" showErrorMessage="false" showInputMessage="false" sqref="F11" type="list">
      <formula1>"ACT-EC-01,ACT-CH-01,ACT-TN-01,ACT-AD-01"</formula1>
      <formula2>0</formula2>
    </dataValidation>
    <dataValidation allowBlank="true" errorStyle="stop" operator="between" showDropDown="false" showErrorMessage="false" showInputMessage="false" sqref="F15" type="list">
      <formula1>"TOP-01,TOP-02,TOP-03,TOP-04,TOP-05,TOP-06,TOP-07,TOP-08,TOP-09,TOP-10,TOP-11,TOP-12,TOP-13,TOP-14,TOP-15"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21" t="s">
        <v>452</v>
      </c>
      <c r="C1" s="22"/>
    </row>
    <row r="2" customFormat="false" ht="15" hidden="false" customHeight="false" outlineLevel="0" collapsed="false">
      <c r="C2" s="22"/>
    </row>
    <row r="3" customFormat="false" ht="15" hidden="false" customHeight="false" outlineLevel="0" collapsed="false">
      <c r="C3" s="22"/>
    </row>
    <row r="4" customFormat="false" ht="15" hidden="false" customHeight="false" outlineLevel="0" collapsed="false">
      <c r="A4" s="0" t="s">
        <v>453</v>
      </c>
      <c r="C4" s="22" t="s">
        <v>454</v>
      </c>
    </row>
    <row r="5" customFormat="false" ht="15" hidden="false" customHeight="false" outlineLevel="0" collapsed="false">
      <c r="A5" s="0" t="s">
        <v>12</v>
      </c>
      <c r="C5" s="22" t="s">
        <v>455</v>
      </c>
    </row>
    <row r="6" customFormat="false" ht="15" hidden="false" customHeight="false" outlineLevel="0" collapsed="false">
      <c r="A6" s="0" t="s">
        <v>61</v>
      </c>
      <c r="C6" s="22" t="s">
        <v>456</v>
      </c>
    </row>
    <row r="7" customFormat="false" ht="15" hidden="false" customHeight="false" outlineLevel="0" collapsed="false">
      <c r="A7" s="0" t="s">
        <v>207</v>
      </c>
      <c r="C7" s="22" t="s">
        <v>457</v>
      </c>
    </row>
    <row r="8" customFormat="false" ht="15" hidden="false" customHeight="false" outlineLevel="0" collapsed="false">
      <c r="A8" s="0" t="s">
        <v>265</v>
      </c>
      <c r="C8" s="22" t="s">
        <v>458</v>
      </c>
    </row>
    <row r="9" customFormat="false" ht="15" hidden="false" customHeight="false" outlineLevel="0" collapsed="false">
      <c r="A9" s="0" t="s">
        <v>314</v>
      </c>
      <c r="C9" s="22" t="s">
        <v>459</v>
      </c>
    </row>
    <row r="10" customFormat="false" ht="15" hidden="false" customHeight="false" outlineLevel="0" collapsed="false">
      <c r="C10" s="22"/>
    </row>
    <row r="11" customFormat="false" ht="15" hidden="false" customHeight="false" outlineLevel="0" collapsed="false">
      <c r="A11" s="0" t="s">
        <v>460</v>
      </c>
      <c r="C11" s="22"/>
    </row>
    <row r="12" customFormat="false" ht="15" hidden="false" customHeight="false" outlineLevel="0" collapsed="false">
      <c r="A12" s="0" t="s">
        <v>461</v>
      </c>
      <c r="C12" s="22" t="s">
        <v>462</v>
      </c>
    </row>
    <row r="13" customFormat="false" ht="15" hidden="false" customHeight="false" outlineLevel="0" collapsed="false">
      <c r="A13" s="0" t="s">
        <v>463</v>
      </c>
      <c r="C13" s="22" t="s">
        <v>464</v>
      </c>
    </row>
    <row r="14" customFormat="false" ht="15" hidden="false" customHeight="false" outlineLevel="0" collapsed="false">
      <c r="A14" s="0" t="s">
        <v>465</v>
      </c>
      <c r="C14" s="22" t="s">
        <v>466</v>
      </c>
    </row>
    <row r="15" customFormat="false" ht="15" hidden="false" customHeight="false" outlineLevel="0" collapsed="false">
      <c r="A15" s="0" t="s">
        <v>467</v>
      </c>
      <c r="C15" s="22" t="s">
        <v>468</v>
      </c>
    </row>
    <row r="16" customFormat="false" ht="15" hidden="false" customHeight="false" outlineLevel="0" collapsed="false">
      <c r="A16" s="0" t="s">
        <v>469</v>
      </c>
      <c r="C16" s="22" t="s">
        <v>470</v>
      </c>
    </row>
    <row r="17" customFormat="false" ht="15" hidden="false" customHeight="false" outlineLevel="0" collapsed="false">
      <c r="A17" s="0" t="s">
        <v>471</v>
      </c>
      <c r="C17" s="22" t="s">
        <v>472</v>
      </c>
    </row>
    <row r="18" customFormat="false" ht="15" hidden="false" customHeight="false" outlineLevel="0" collapsed="false">
      <c r="A18" s="0" t="s">
        <v>473</v>
      </c>
      <c r="C18" s="22" t="s">
        <v>474</v>
      </c>
    </row>
    <row r="19" customFormat="false" ht="15" hidden="false" customHeight="false" outlineLevel="0" collapsed="false">
      <c r="A19" s="0" t="s">
        <v>475</v>
      </c>
      <c r="C19" s="22" t="s">
        <v>476</v>
      </c>
    </row>
    <row r="20" customFormat="false" ht="15" hidden="false" customHeight="false" outlineLevel="0" collapsed="false">
      <c r="A20" s="0" t="s">
        <v>477</v>
      </c>
      <c r="C20" s="22" t="s">
        <v>478</v>
      </c>
    </row>
    <row r="21" customFormat="false" ht="15" hidden="false" customHeight="false" outlineLevel="0" collapsed="false">
      <c r="C21" s="22"/>
    </row>
    <row r="22" customFormat="false" ht="15" hidden="false" customHeight="false" outlineLevel="0" collapsed="false">
      <c r="A22" s="0" t="s">
        <v>6</v>
      </c>
      <c r="C22" s="22"/>
    </row>
    <row r="23" customFormat="false" ht="15" hidden="false" customHeight="false" outlineLevel="0" collapsed="false">
      <c r="A23" s="0" t="s">
        <v>15</v>
      </c>
      <c r="C23" s="22" t="s">
        <v>479</v>
      </c>
    </row>
    <row r="24" customFormat="false" ht="15" hidden="false" customHeight="false" outlineLevel="0" collapsed="false">
      <c r="A24" s="0" t="s">
        <v>38</v>
      </c>
      <c r="C24" s="22" t="s">
        <v>480</v>
      </c>
    </row>
    <row r="25" customFormat="false" ht="15" hidden="false" customHeight="false" outlineLevel="0" collapsed="false">
      <c r="C25" s="22"/>
    </row>
    <row r="26" customFormat="false" ht="15" hidden="false" customHeight="false" outlineLevel="0" collapsed="false">
      <c r="A26" s="0" t="s">
        <v>481</v>
      </c>
      <c r="C26" s="22" t="s">
        <v>482</v>
      </c>
    </row>
    <row r="27" customFormat="false" ht="15" hidden="false" customHeight="false" outlineLevel="0" collapsed="false">
      <c r="C27" s="22"/>
    </row>
    <row r="28" customFormat="false" ht="15" hidden="false" customHeight="false" outlineLevel="0" collapsed="false">
      <c r="A28" s="23" t="s">
        <v>483</v>
      </c>
      <c r="C28" s="22"/>
    </row>
    <row r="29" customFormat="false" ht="15" hidden="false" customHeight="false" outlineLevel="0" collapsed="false">
      <c r="A29" s="24" t="s">
        <v>12</v>
      </c>
      <c r="B29" s="25" t="n">
        <f aca="false">COUNTIF(Reglas!D:D,"FIJO")</f>
        <v>15</v>
      </c>
      <c r="C29" s="22"/>
    </row>
    <row r="30" customFormat="false" ht="15" hidden="false" customHeight="false" outlineLevel="0" collapsed="false">
      <c r="A30" s="26" t="s">
        <v>61</v>
      </c>
      <c r="B30" s="25" t="n">
        <f aca="false">COUNTIF(Reglas!D:D,"EDAD")</f>
        <v>52</v>
      </c>
      <c r="C30" s="22"/>
    </row>
    <row r="31" customFormat="false" ht="15" hidden="false" customHeight="false" outlineLevel="0" collapsed="false">
      <c r="A31" s="27" t="s">
        <v>207</v>
      </c>
      <c r="B31" s="25" t="n">
        <f aca="false">COUNTIF(Reglas!D:D,"NIVEL")</f>
        <v>23</v>
      </c>
      <c r="C31" s="22"/>
    </row>
    <row r="32" customFormat="false" ht="15" hidden="false" customHeight="false" outlineLevel="0" collapsed="false">
      <c r="A32" s="28" t="s">
        <v>265</v>
      </c>
      <c r="B32" s="25" t="n">
        <f aca="false">COUNTIF(Reglas!D:D,"TÓPICO")</f>
        <v>17</v>
      </c>
      <c r="C32" s="22"/>
    </row>
    <row r="33" customFormat="false" ht="15" hidden="false" customHeight="false" outlineLevel="0" collapsed="false">
      <c r="A33" s="29" t="s">
        <v>314</v>
      </c>
      <c r="B33" s="25" t="n">
        <f aca="false">COUNTIF(Reglas!D:D,"RUNTIME")</f>
        <v>5</v>
      </c>
      <c r="C33" s="22"/>
    </row>
    <row r="34" customFormat="false" ht="15" hidden="false" customHeight="false" outlineLevel="0" collapsed="false">
      <c r="C34" s="22"/>
    </row>
    <row r="35" customFormat="false" ht="15" hidden="false" customHeight="false" outlineLevel="0" collapsed="false">
      <c r="A35" s="13" t="s">
        <v>484</v>
      </c>
      <c r="B35" s="25" t="n">
        <f aca="false">COUNTA(Reglas!A2:A1000)</f>
        <v>122</v>
      </c>
      <c r="C3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2026-06-17T05:07:08Z</dcterms:created>
  <dc:creator>openpyxl</dc:creator>
  <dc:description/>
  <dc:language>en-US</dc:language>
  <cp:lastModifiedBy/>
  <dcterms:modified xsi:type="dcterms:W3CDTF">2026-06-17T05:07:08Z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